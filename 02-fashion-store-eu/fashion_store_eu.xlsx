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3.xml" ContentType="application/vnd.openxmlformats-officedocument.spreadsheetml.pivot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alof\Downloads\Data Analyst\PROYECTO 2\"/>
    </mc:Choice>
  </mc:AlternateContent>
  <xr:revisionPtr revIDLastSave="0" documentId="13_ncr:1_{0C919620-83BC-4668-AAE3-31B111DF7E99}" xr6:coauthVersionLast="47" xr6:coauthVersionMax="47" xr10:uidLastSave="{00000000-0000-0000-0000-000000000000}"/>
  <bookViews>
    <workbookView xWindow="-120" yWindow="-120" windowWidth="24240" windowHeight="13020" xr2:uid="{B30E91F2-2588-4618-BA57-5FD9CFA6D416}"/>
  </bookViews>
  <sheets>
    <sheet name="DASHBOARD" sheetId="2" r:id="rId1"/>
    <sheet name="SQL tables" sheetId="1" r:id="rId2"/>
    <sheet name="Sales table" sheetId="3" r:id="rId3"/>
    <sheet name="Products table" sheetId="4" r:id="rId4"/>
    <sheet name="Stock table" sheetId="5" r:id="rId5"/>
  </sheets>
  <definedNames>
    <definedName name="SegmentaciónDeDatos_Category">#N/A</definedName>
    <definedName name="SegmentaciónDeDatos_Channel">#N/A</definedName>
    <definedName name="SegmentaciónDeDatos_Month">#N/A</definedName>
  </definedNames>
  <calcPr calcId="191029"/>
  <pivotCaches>
    <pivotCache cacheId="0" r:id="rId6"/>
    <pivotCache cacheId="1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5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L7" i="2"/>
  <c r="I7" i="2"/>
  <c r="E7" i="2"/>
  <c r="B7" i="2"/>
</calcChain>
</file>

<file path=xl/sharedStrings.xml><?xml version="1.0" encoding="utf-8"?>
<sst xmlns="http://schemas.openxmlformats.org/spreadsheetml/2006/main" count="6291" uniqueCount="572">
  <si>
    <t>channel</t>
  </si>
  <si>
    <t>total_sales</t>
  </si>
  <si>
    <t>E-commerce</t>
  </si>
  <si>
    <t>App Mobile</t>
  </si>
  <si>
    <t>country</t>
  </si>
  <si>
    <t>sales_volume</t>
  </si>
  <si>
    <t>average_ticket</t>
  </si>
  <si>
    <t>Germany</t>
  </si>
  <si>
    <t>France</t>
  </si>
  <si>
    <t>Italy</t>
  </si>
  <si>
    <t>Netherlands</t>
  </si>
  <si>
    <t>Spain</t>
  </si>
  <si>
    <t>Portugal</t>
  </si>
  <si>
    <t>month_sale</t>
  </si>
  <si>
    <t>category</t>
  </si>
  <si>
    <t>product_profit_margin</t>
  </si>
  <si>
    <t>T-Shirts</t>
  </si>
  <si>
    <t>Shoes</t>
  </si>
  <si>
    <t>Dresses</t>
  </si>
  <si>
    <t>Sleepwear</t>
  </si>
  <si>
    <t>Pants</t>
  </si>
  <si>
    <t>customer_id</t>
  </si>
  <si>
    <t>total_spent</t>
  </si>
  <si>
    <t>total_orders</t>
  </si>
  <si>
    <t>product_id</t>
  </si>
  <si>
    <t>product_name</t>
  </si>
  <si>
    <t>Soft Ribbed Shoes</t>
  </si>
  <si>
    <t>Soft Cotton Trousers</t>
  </si>
  <si>
    <t>Soft Boxy Dress</t>
  </si>
  <si>
    <t>Soft Boxy Tee</t>
  </si>
  <si>
    <t>Modern Cotton Tee</t>
  </si>
  <si>
    <t>Modern Ribbed Trousers</t>
  </si>
  <si>
    <t>Modern High-Waist Shoes</t>
  </si>
  <si>
    <t>Classic Crew Tee</t>
  </si>
  <si>
    <t>Classic Sleeveless Shoes</t>
  </si>
  <si>
    <t>Classic Satin Trousers</t>
  </si>
  <si>
    <t>Vintage Ribbed Dress</t>
  </si>
  <si>
    <t>Vintage Wrap Tee</t>
  </si>
  <si>
    <t>Classic Sleeveless Set</t>
  </si>
  <si>
    <t>Polished Wrap Dress</t>
  </si>
  <si>
    <t>Vintage Cotton Tee</t>
  </si>
  <si>
    <t>Polished Ribbed Dress</t>
  </si>
  <si>
    <t>Vintage Sleeveless Shoes</t>
  </si>
  <si>
    <t>Vintage Crew Tee</t>
  </si>
  <si>
    <t>Polished Sleeveless Dress</t>
  </si>
  <si>
    <t>Polished Boxy Dress</t>
  </si>
  <si>
    <t>Polished Wrap Tee</t>
  </si>
  <si>
    <t>Vintage Boxy Set</t>
  </si>
  <si>
    <t>Polished Silk Shoes</t>
  </si>
  <si>
    <t>Polished High-Waist Shoes</t>
  </si>
  <si>
    <t>Polished Sleeveless Tee</t>
  </si>
  <si>
    <t>Polished Satin Set</t>
  </si>
  <si>
    <t>Relaxed Cotton Dress</t>
  </si>
  <si>
    <t>Polished Satin Trousers</t>
  </si>
  <si>
    <t>Essential Linen Tee</t>
  </si>
  <si>
    <t>Relaxed Cotton Set</t>
  </si>
  <si>
    <t>Essential Crew Shoes</t>
  </si>
  <si>
    <t>Relaxed Silk Set</t>
  </si>
  <si>
    <t>Essential Ribbed Dress</t>
  </si>
  <si>
    <t>Relaxed Crew Set</t>
  </si>
  <si>
    <t>Essential Crew Dress</t>
  </si>
  <si>
    <t>Tailored Linen Dress</t>
  </si>
  <si>
    <t>Essential Cotton Set</t>
  </si>
  <si>
    <t>Tailored Silk Tee</t>
  </si>
  <si>
    <t>Tailored High-Waist Tee</t>
  </si>
  <si>
    <t>Tailored Wrap Set</t>
  </si>
  <si>
    <t>Elegant Ribbed Tee</t>
  </si>
  <si>
    <t>Elegant Linen Shoes</t>
  </si>
  <si>
    <t>Essential Silk Trousers</t>
  </si>
  <si>
    <t>Elegant Cotton Dress</t>
  </si>
  <si>
    <t>Elegant Cotton Set</t>
  </si>
  <si>
    <t>Elegant Boxy Set</t>
  </si>
  <si>
    <t>Bold Ribbed Tee</t>
  </si>
  <si>
    <t>Bold Crew Dress</t>
  </si>
  <si>
    <t>T-Shirts Drop 1</t>
  </si>
  <si>
    <t>Tailored High-Waist Trousers</t>
  </si>
  <si>
    <t>Soft Wrap Dress</t>
  </si>
  <si>
    <t>Soft Wrap Tee</t>
  </si>
  <si>
    <t>Soft Linen Tee</t>
  </si>
  <si>
    <t>Soft Ribbed Tee</t>
  </si>
  <si>
    <t>Soft Wrap Trousers</t>
  </si>
  <si>
    <t>Soft Wrap Shoes</t>
  </si>
  <si>
    <t>Soft Linen Dress</t>
  </si>
  <si>
    <t>Soft Linen Trousers</t>
  </si>
  <si>
    <t>Soft Linen Shoes</t>
  </si>
  <si>
    <t>Soft Ribbed Trousers</t>
  </si>
  <si>
    <t>Soft Ribbed Dress</t>
  </si>
  <si>
    <t>Soft Cotton Shoes</t>
  </si>
  <si>
    <t>Soft Cotton Dress</t>
  </si>
  <si>
    <t>Soft Cotton Tee</t>
  </si>
  <si>
    <t>Soft Satin Dress</t>
  </si>
  <si>
    <t>Soft Satin Shoes</t>
  </si>
  <si>
    <t>Soft Silk Dress</t>
  </si>
  <si>
    <t>Soft Crew Dress</t>
  </si>
  <si>
    <t>Soft Silk Shoes</t>
  </si>
  <si>
    <t>Soft Satin Tee</t>
  </si>
  <si>
    <t>Soft Sleeveless Dress</t>
  </si>
  <si>
    <t>Soft High-Waist Dress</t>
  </si>
  <si>
    <t>Soft Wrap Set</t>
  </si>
  <si>
    <t>Soft Crew Shoes</t>
  </si>
  <si>
    <t>Soft Sleeveless Shoes</t>
  </si>
  <si>
    <t>Soft Linen Set</t>
  </si>
  <si>
    <t>Soft Satin Trousers</t>
  </si>
  <si>
    <t>Soft Silk Trousers</t>
  </si>
  <si>
    <t>Soft Silk Tee</t>
  </si>
  <si>
    <t>Modern Wrap Dress</t>
  </si>
  <si>
    <t>Modern Linen Dress</t>
  </si>
  <si>
    <t>Modern Ribbed Dress</t>
  </si>
  <si>
    <t>Modern Cotton Dress</t>
  </si>
  <si>
    <t>Soft Crew Trousers</t>
  </si>
  <si>
    <t>Soft Crew Tee</t>
  </si>
  <si>
    <t>Soft Sleeveless Trousers</t>
  </si>
  <si>
    <t>Soft High-Waist Trousers</t>
  </si>
  <si>
    <t>Soft Boxy Trousers</t>
  </si>
  <si>
    <t>Soft Ribbed Set</t>
  </si>
  <si>
    <t>Modern Satin Dress</t>
  </si>
  <si>
    <t>Modern Wrap Trousers</t>
  </si>
  <si>
    <t>Soft Sleeveless Tee</t>
  </si>
  <si>
    <t>Soft Cotton Set</t>
  </si>
  <si>
    <t>Soft High-Waist Tee</t>
  </si>
  <si>
    <t>Soft High-Waist Shoes</t>
  </si>
  <si>
    <t>Modern Wrap Tee</t>
  </si>
  <si>
    <t>Soft Satin Set</t>
  </si>
  <si>
    <t>Modern Linen Tee</t>
  </si>
  <si>
    <t>Soft Boxy Shoes</t>
  </si>
  <si>
    <t>Modern Silk Dress</t>
  </si>
  <si>
    <t>Modern Ribbed Tee</t>
  </si>
  <si>
    <t>Modern Wrap Shoes</t>
  </si>
  <si>
    <t>Modern Crew Dress</t>
  </si>
  <si>
    <t>Modern Sleeveless Dress</t>
  </si>
  <si>
    <t>Soft Silk Set</t>
  </si>
  <si>
    <t>Modern Satin Tee</t>
  </si>
  <si>
    <t>Modern Linen Trousers</t>
  </si>
  <si>
    <t>Soft Crew Set</t>
  </si>
  <si>
    <t>Soft Sleeveless Set</t>
  </si>
  <si>
    <t>Modern Silk Tee</t>
  </si>
  <si>
    <t>Modern High-Waist Dress</t>
  </si>
  <si>
    <t>Modern Crew Tee</t>
  </si>
  <si>
    <t>Soft High-Waist Set</t>
  </si>
  <si>
    <t>Modern Linen Shoes</t>
  </si>
  <si>
    <t>Modern Boxy Dress</t>
  </si>
  <si>
    <t>Classic Wrap Dress</t>
  </si>
  <si>
    <t>Soft Boxy Set</t>
  </si>
  <si>
    <t>Modern Wrap Set</t>
  </si>
  <si>
    <t>Modern Linen Set</t>
  </si>
  <si>
    <t>Modern Cotton Trousers</t>
  </si>
  <si>
    <t>Classic Linen Dress</t>
  </si>
  <si>
    <t>Modern Ribbed Shoes</t>
  </si>
  <si>
    <t>Modern Satin Trousers</t>
  </si>
  <si>
    <t>Classic Ribbed Dress</t>
  </si>
  <si>
    <t>Modern Ribbed Set</t>
  </si>
  <si>
    <t>Classic Cotton Dress</t>
  </si>
  <si>
    <t>Modern Sleeveless Tee</t>
  </si>
  <si>
    <t>Modern Cotton Shoes</t>
  </si>
  <si>
    <t>Classic Satin Dress</t>
  </si>
  <si>
    <t>Modern Cotton Set</t>
  </si>
  <si>
    <t>Classic Silk Dress</t>
  </si>
  <si>
    <t>Modern Satin Set</t>
  </si>
  <si>
    <t>Modern Satin Shoes</t>
  </si>
  <si>
    <t>Modern Silk Shoes</t>
  </si>
  <si>
    <t>Modern Silk Set</t>
  </si>
  <si>
    <t>Modern Crew Shoes</t>
  </si>
  <si>
    <t>Modern Silk Trousers</t>
  </si>
  <si>
    <t>Modern Sleeveless Shoes</t>
  </si>
  <si>
    <t>Modern Crew Set</t>
  </si>
  <si>
    <t>Modern High-Waist Tee</t>
  </si>
  <si>
    <t>Modern Boxy Shoes</t>
  </si>
  <si>
    <t>Modern Boxy Tee</t>
  </si>
  <si>
    <t>Classic Crew Dress</t>
  </si>
  <si>
    <t>Classic Wrap Tee</t>
  </si>
  <si>
    <t>Classic Linen Tee</t>
  </si>
  <si>
    <t>Classic Ribbed Tee</t>
  </si>
  <si>
    <t>Classic Wrap Shoes</t>
  </si>
  <si>
    <t>Classic Cotton Tee</t>
  </si>
  <si>
    <t>Classic Satin Tee</t>
  </si>
  <si>
    <t>Classic Linen Shoes</t>
  </si>
  <si>
    <t>Modern Crew Trousers</t>
  </si>
  <si>
    <t>Classic Sleeveless Dress</t>
  </si>
  <si>
    <t>Classic High-Waist Dress</t>
  </si>
  <si>
    <t>Modern Sleeveless Trousers</t>
  </si>
  <si>
    <t>Modern Sleeveless Set</t>
  </si>
  <si>
    <t>Classic Boxy Dress</t>
  </si>
  <si>
    <t>Classic Ribbed Shoes</t>
  </si>
  <si>
    <t>Modern High-Waist Set</t>
  </si>
  <si>
    <t>Modern High-Waist Trousers</t>
  </si>
  <si>
    <t>Vintage Wrap Dress</t>
  </si>
  <si>
    <t>Classic Silk Tee</t>
  </si>
  <si>
    <t>Vintage Linen Dress</t>
  </si>
  <si>
    <t>Modern Boxy Set</t>
  </si>
  <si>
    <t>Classic Cotton Shoes</t>
  </si>
  <si>
    <t>Modern Boxy Trousers</t>
  </si>
  <si>
    <t>Classic Wrap Set</t>
  </si>
  <si>
    <t>Classic Linen Set</t>
  </si>
  <si>
    <t>Classic Satin Shoes</t>
  </si>
  <si>
    <t>Classic Silk Shoes</t>
  </si>
  <si>
    <t>Classic Wrap Trousers</t>
  </si>
  <si>
    <t>Classic Linen Trousers</t>
  </si>
  <si>
    <t>Classic Ribbed Set</t>
  </si>
  <si>
    <t>Classic Cotton Set</t>
  </si>
  <si>
    <t>Classic Crew Shoes</t>
  </si>
  <si>
    <t>Classic Sleeveless Tee</t>
  </si>
  <si>
    <t>Classic Ribbed Trousers</t>
  </si>
  <si>
    <t>Classic Cotton Trousers</t>
  </si>
  <si>
    <t>Classic High-Waist Shoes</t>
  </si>
  <si>
    <t>Classic High-Waist Tee</t>
  </si>
  <si>
    <t>Vintage Cotton Dress</t>
  </si>
  <si>
    <t>Vintage Satin Dress</t>
  </si>
  <si>
    <t>Classic Satin Set</t>
  </si>
  <si>
    <t>Classic Silk Trousers</t>
  </si>
  <si>
    <t>Classic Boxy Shoes</t>
  </si>
  <si>
    <t>Vintage Wrap Shoes</t>
  </si>
  <si>
    <t>Vintage Linen Shoes</t>
  </si>
  <si>
    <t>Classic Boxy Tee</t>
  </si>
  <si>
    <t>Classic Crew Trousers</t>
  </si>
  <si>
    <t>Classic Sleeveless Trousers</t>
  </si>
  <si>
    <t>Classic Silk Set</t>
  </si>
  <si>
    <t>Vintage Ribbed Shoes</t>
  </si>
  <si>
    <t>Classic Crew Set</t>
  </si>
  <si>
    <t>Vintage Silk Dress</t>
  </si>
  <si>
    <t>Vintage Crew Dress</t>
  </si>
  <si>
    <t>Vintage Sleeveless Dress</t>
  </si>
  <si>
    <t>Classic High-Waist Trousers</t>
  </si>
  <si>
    <t>Classic High-Waist Set</t>
  </si>
  <si>
    <t>Vintage Linen Tee</t>
  </si>
  <si>
    <t>Classic Boxy Set</t>
  </si>
  <si>
    <t>Vintage Wrap Set</t>
  </si>
  <si>
    <t>Vintage High-Waist Dress</t>
  </si>
  <si>
    <t>Vintage Cotton Shoes</t>
  </si>
  <si>
    <t>Vintage Satin Shoes</t>
  </si>
  <si>
    <t>Vintage Silk Shoes</t>
  </si>
  <si>
    <t>Vintage Ribbed Tee</t>
  </si>
  <si>
    <t>Vintage Linen Set</t>
  </si>
  <si>
    <t>Vintage Boxy Dress</t>
  </si>
  <si>
    <t>Vintage Crew Shoes</t>
  </si>
  <si>
    <t>Polished Linen Dress</t>
  </si>
  <si>
    <t>Vintage Ribbed Set</t>
  </si>
  <si>
    <t>Vintage Cotton Set</t>
  </si>
  <si>
    <t>Classic Boxy Trousers</t>
  </si>
  <si>
    <t>Vintage Satin Tee</t>
  </si>
  <si>
    <t>Vintage High-Waist Shoes</t>
  </si>
  <si>
    <t>Vintage Satin Set</t>
  </si>
  <si>
    <t>Vintage Silk Set</t>
  </si>
  <si>
    <t>Vintage Wrap Trousers</t>
  </si>
  <si>
    <t>Vintage Linen Trousers</t>
  </si>
  <si>
    <t>Vintage Boxy Shoes</t>
  </si>
  <si>
    <t>Vintage Ribbed Trousers</t>
  </si>
  <si>
    <t>Polished Wrap Shoes</t>
  </si>
  <si>
    <t>Vintage Crew Set</t>
  </si>
  <si>
    <t>Polished Cotton Dress</t>
  </si>
  <si>
    <t>Polished Satin Dress</t>
  </si>
  <si>
    <t>Polished Silk Dress</t>
  </si>
  <si>
    <t>Vintage Silk Tee</t>
  </si>
  <si>
    <t>Vintage Sleeveless Set</t>
  </si>
  <si>
    <t>Vintage Cotton Trousers</t>
  </si>
  <si>
    <t>Polished Linen Shoes</t>
  </si>
  <si>
    <t>Polished Crew Dress</t>
  </si>
  <si>
    <t>Vintage High-Waist Set</t>
  </si>
  <si>
    <t>Vintage Sleeveless Tee</t>
  </si>
  <si>
    <t>Vintage High-Waist Tee</t>
  </si>
  <si>
    <t>Polished High-Waist Dress</t>
  </si>
  <si>
    <t>Vintage Satin Trousers</t>
  </si>
  <si>
    <t>Vintage Silk Trousers</t>
  </si>
  <si>
    <t>Vintage Boxy Tee</t>
  </si>
  <si>
    <t>Polished Ribbed Shoes</t>
  </si>
  <si>
    <t>Polished Cotton Shoes</t>
  </si>
  <si>
    <t>Polished Linen Tee</t>
  </si>
  <si>
    <t>Polished Ribbed Tee</t>
  </si>
  <si>
    <t>Vintage Crew Trousers</t>
  </si>
  <si>
    <t>Vintage Sleeveless Trousers</t>
  </si>
  <si>
    <t>Polished Satin Shoes</t>
  </si>
  <si>
    <t>Polished Cotton Tee</t>
  </si>
  <si>
    <t>Polished Satin Tee</t>
  </si>
  <si>
    <t>Polished Wrap Set</t>
  </si>
  <si>
    <t>Polished Silk Tee</t>
  </si>
  <si>
    <t>Relaxed Wrap Dress</t>
  </si>
  <si>
    <t>Vintage High-Waist Trousers</t>
  </si>
  <si>
    <t>Relaxed Linen Dress</t>
  </si>
  <si>
    <t>Polished Crew Shoes</t>
  </si>
  <si>
    <t>Polished Linen Set</t>
  </si>
  <si>
    <t>Polished Crew Tee</t>
  </si>
  <si>
    <t>Vintage Boxy Trousers</t>
  </si>
  <si>
    <t>Polished Sleeveless Shoes</t>
  </si>
  <si>
    <t>Polished Ribbed Set</t>
  </si>
  <si>
    <t>Polished Boxy Shoes</t>
  </si>
  <si>
    <t>Relaxed Wrap Shoes</t>
  </si>
  <si>
    <t>Polished Cotton Set</t>
  </si>
  <si>
    <t>Relaxed Linen Shoes</t>
  </si>
  <si>
    <t>Relaxed Ribbed Dress</t>
  </si>
  <si>
    <t>Polished High-Waist Tee</t>
  </si>
  <si>
    <t>Polished Wrap Trousers</t>
  </si>
  <si>
    <t>Polished Linen Trousers</t>
  </si>
  <si>
    <t>Polished Ribbed Trousers</t>
  </si>
  <si>
    <t>Relaxed Ribbed Shoes</t>
  </si>
  <si>
    <t>Relaxed Cotton Shoes</t>
  </si>
  <si>
    <t>Relaxed Satin Dress</t>
  </si>
  <si>
    <t>Polished Cotton Trousers</t>
  </si>
  <si>
    <t>Polished Boxy Tee</t>
  </si>
  <si>
    <t>Polished Silk Set</t>
  </si>
  <si>
    <t>Relaxed Satin Shoes</t>
  </si>
  <si>
    <t>Relaxed Wrap Tee</t>
  </si>
  <si>
    <t>Relaxed Linen Tee</t>
  </si>
  <si>
    <t>Relaxed Ribbed Tee</t>
  </si>
  <si>
    <t>Relaxed Silk Shoes</t>
  </si>
  <si>
    <t>Polished Crew Set</t>
  </si>
  <si>
    <t>Relaxed Crew Shoes</t>
  </si>
  <si>
    <t>Relaxed Sleeveless Shoes</t>
  </si>
  <si>
    <t>Polished Silk Trousers</t>
  </si>
  <si>
    <t>Relaxed Silk Dress</t>
  </si>
  <si>
    <t>Relaxed Cotton Tee</t>
  </si>
  <si>
    <t>Polished Sleeveless Set</t>
  </si>
  <si>
    <t>Relaxed High-Waist Shoes</t>
  </si>
  <si>
    <t>Relaxed Satin Tee</t>
  </si>
  <si>
    <t>Relaxed Boxy Shoes</t>
  </si>
  <si>
    <t>Polished Crew Trousers</t>
  </si>
  <si>
    <t>Polished High-Waist Set</t>
  </si>
  <si>
    <t>Polished Boxy Set</t>
  </si>
  <si>
    <t>Relaxed Crew Dress</t>
  </si>
  <si>
    <t>Relaxed Silk Tee</t>
  </si>
  <si>
    <t>Essential Wrap Shoes</t>
  </si>
  <si>
    <t>Essential Linen Shoes</t>
  </si>
  <si>
    <t>Relaxed Crew Tee</t>
  </si>
  <si>
    <t>Relaxed Wrap Set</t>
  </si>
  <si>
    <t>Relaxed Sleeveless Tee</t>
  </si>
  <si>
    <t>Relaxed High-Waist Tee</t>
  </si>
  <si>
    <t>Relaxed Boxy Tee</t>
  </si>
  <si>
    <t>Essential Wrap Tee</t>
  </si>
  <si>
    <t>Relaxed Linen Set</t>
  </si>
  <si>
    <t>Polished Sleeveless Trousers</t>
  </si>
  <si>
    <t>Polished High-Waist Trousers</t>
  </si>
  <si>
    <t>Essential Ribbed Shoes</t>
  </si>
  <si>
    <t>Essential Cotton Shoes</t>
  </si>
  <si>
    <t>Relaxed Sleeveless Dress</t>
  </si>
  <si>
    <t>Essential Satin Shoes</t>
  </si>
  <si>
    <t>Relaxed Ribbed Set</t>
  </si>
  <si>
    <t>Essential Ribbed Tee</t>
  </si>
  <si>
    <t>Relaxed High-Waist Dress</t>
  </si>
  <si>
    <t>Essential Silk Shoes</t>
  </si>
  <si>
    <t>Essential Cotton Tee</t>
  </si>
  <si>
    <t>Essential Sleeveless Shoes</t>
  </si>
  <si>
    <t>Polished Boxy Trousers</t>
  </si>
  <si>
    <t>Relaxed Boxy Dress</t>
  </si>
  <si>
    <t>Essential High-Waist Shoes</t>
  </si>
  <si>
    <t>Essential Boxy Shoes</t>
  </si>
  <si>
    <t>Essential Wrap Dress</t>
  </si>
  <si>
    <t>Tailored Wrap Shoes</t>
  </si>
  <si>
    <t>Essential Linen Dress</t>
  </si>
  <si>
    <t>Essential Satin Tee</t>
  </si>
  <si>
    <t>Relaxed Satin Set</t>
  </si>
  <si>
    <t>Essential Silk Tee</t>
  </si>
  <si>
    <t>Relaxed Wrap Trousers</t>
  </si>
  <si>
    <t>Essential Crew Tee</t>
  </si>
  <si>
    <t>Relaxed Linen Trousers</t>
  </si>
  <si>
    <t>Relaxed Ribbed Trousers</t>
  </si>
  <si>
    <t>Essential Cotton Dress</t>
  </si>
  <si>
    <t>Essential Satin Dress</t>
  </si>
  <si>
    <t>Relaxed Sleeveless Set</t>
  </si>
  <si>
    <t>Essential Sleeveless Tee</t>
  </si>
  <si>
    <t>Essential High-Waist Tee</t>
  </si>
  <si>
    <t>Relaxed High-Waist Set</t>
  </si>
  <si>
    <t>Essential Boxy Tee</t>
  </si>
  <si>
    <t>Essential Silk Dress</t>
  </si>
  <si>
    <t>Relaxed Cotton Trousers</t>
  </si>
  <si>
    <t>Essential Sleeveless Dress</t>
  </si>
  <si>
    <t>Tailored Wrap Tee</t>
  </si>
  <si>
    <t>Tailored Linen Tee</t>
  </si>
  <si>
    <t>Tailored Linen Shoes</t>
  </si>
  <si>
    <t>Essential High-Waist Dress</t>
  </si>
  <si>
    <t>Essential Boxy Dress</t>
  </si>
  <si>
    <t>Tailored Wrap Dress</t>
  </si>
  <si>
    <t>Relaxed Boxy Set</t>
  </si>
  <si>
    <t>Essential Wrap Set</t>
  </si>
  <si>
    <t>Relaxed Satin Trousers</t>
  </si>
  <si>
    <t>Relaxed Silk Trousers</t>
  </si>
  <si>
    <t>Tailored Ribbed Dress</t>
  </si>
  <si>
    <t>Tailored Ribbed Shoes</t>
  </si>
  <si>
    <t>Tailored Ribbed Tee</t>
  </si>
  <si>
    <t>Essential Linen Set</t>
  </si>
  <si>
    <t>Essential Ribbed Set</t>
  </si>
  <si>
    <t>Tailored Cotton Tee</t>
  </si>
  <si>
    <t>Tailored Cotton Shoes</t>
  </si>
  <si>
    <t>Essential Satin Set</t>
  </si>
  <si>
    <t>Tailored Satin Tee</t>
  </si>
  <si>
    <t>Tailored Crew Tee</t>
  </si>
  <si>
    <t>Relaxed Crew Trousers</t>
  </si>
  <si>
    <t>Tailored Sleeveless Tee</t>
  </si>
  <si>
    <t>Essential Silk Set</t>
  </si>
  <si>
    <t>Tailored Satin Shoes</t>
  </si>
  <si>
    <t>Essential Crew Set</t>
  </si>
  <si>
    <t>Relaxed Sleeveless Trousers</t>
  </si>
  <si>
    <t>Essential Sleeveless Set</t>
  </si>
  <si>
    <t>Relaxed High-Waist Trousers</t>
  </si>
  <si>
    <t>Relaxed Boxy Trousers</t>
  </si>
  <si>
    <t>Essential High-Waist Set</t>
  </si>
  <si>
    <t>Essential Boxy Set</t>
  </si>
  <si>
    <t>Tailored Silk Shoes</t>
  </si>
  <si>
    <t>Tailored Boxy Tee</t>
  </si>
  <si>
    <t>Tailored Linen Set</t>
  </si>
  <si>
    <t>Tailored Ribbed Set</t>
  </si>
  <si>
    <t>Tailored Cotton Dress</t>
  </si>
  <si>
    <t>Tailored Satin Dress</t>
  </si>
  <si>
    <t>Elegant Wrap Tee</t>
  </si>
  <si>
    <t>Essential Wrap Trousers</t>
  </si>
  <si>
    <t>Tailored Silk Dress</t>
  </si>
  <si>
    <t>Elegant Linen Tee</t>
  </si>
  <si>
    <t>Tailored Crew Dress</t>
  </si>
  <si>
    <t>Elegant Cotton Tee</t>
  </si>
  <si>
    <t>Essential Linen Trousers</t>
  </si>
  <si>
    <t>Tailored Crew Shoes</t>
  </si>
  <si>
    <t>Tailored Cotton Set</t>
  </si>
  <si>
    <t>Tailored Sleeveless Shoes</t>
  </si>
  <si>
    <t>Tailored Satin Set</t>
  </si>
  <si>
    <t>Tailored High-Waist Shoes</t>
  </si>
  <si>
    <t>Essential Ribbed Trousers</t>
  </si>
  <si>
    <t>Essential Cotton Trousers</t>
  </si>
  <si>
    <t>Tailored Silk Set</t>
  </si>
  <si>
    <t>Elegant Satin Tee</t>
  </si>
  <si>
    <t>Tailored Sleeveless Dress</t>
  </si>
  <si>
    <t>Tailored Crew Set</t>
  </si>
  <si>
    <t>Tailored Sleeveless Set</t>
  </si>
  <si>
    <t>Essential Satin Trousers</t>
  </si>
  <si>
    <t>Tailored High-Waist Dress</t>
  </si>
  <si>
    <t>Tailored High-Waist Set</t>
  </si>
  <si>
    <t>Tailored Boxy Dress</t>
  </si>
  <si>
    <t>Tailored Boxy Set</t>
  </si>
  <si>
    <t>Tailored Boxy Shoes</t>
  </si>
  <si>
    <t>Elegant Wrap Dress</t>
  </si>
  <si>
    <t>Elegant Wrap Shoes</t>
  </si>
  <si>
    <t>Elegant Wrap Set</t>
  </si>
  <si>
    <t>Elegant Silk Tee</t>
  </si>
  <si>
    <t>Elegant Linen Dress</t>
  </si>
  <si>
    <t>Elegant Crew Tee</t>
  </si>
  <si>
    <t>Elegant Ribbed Dress</t>
  </si>
  <si>
    <t>Elegant Linen Set</t>
  </si>
  <si>
    <t>Elegant Ribbed Set</t>
  </si>
  <si>
    <t>Elegant Satin Dress</t>
  </si>
  <si>
    <t>Elegant Silk Dress</t>
  </si>
  <si>
    <t>Essential Crew Trousers</t>
  </si>
  <si>
    <t>Elegant Sleeveless Tee</t>
  </si>
  <si>
    <t>Elegant High-Waist Tee</t>
  </si>
  <si>
    <t>Elegant Ribbed Shoes</t>
  </si>
  <si>
    <t>Elegant Satin Set</t>
  </si>
  <si>
    <t>Elegant Silk Set</t>
  </si>
  <si>
    <t>Elegant Cotton Shoes</t>
  </si>
  <si>
    <t>Elegant Satin Shoes</t>
  </si>
  <si>
    <t>Elegant Crew Set</t>
  </si>
  <si>
    <t>Essential Sleeveless Trousers</t>
  </si>
  <si>
    <t>Essential High-Waist Trousers</t>
  </si>
  <si>
    <t>Elegant Silk Shoes</t>
  </si>
  <si>
    <t>Elegant Crew Shoes</t>
  </si>
  <si>
    <t>Elegant Crew Dress</t>
  </si>
  <si>
    <t>Elegant Sleeveless Shoes</t>
  </si>
  <si>
    <t>Elegant Sleeveless Set</t>
  </si>
  <si>
    <t>Elegant High-Waist Set</t>
  </si>
  <si>
    <t>Elegant Boxy Tee</t>
  </si>
  <si>
    <t>Elegant Sleeveless Dress</t>
  </si>
  <si>
    <t>Elegant High-Waist Dress</t>
  </si>
  <si>
    <t>Bold Wrap Set</t>
  </si>
  <si>
    <t>Elegant High-Waist Shoes</t>
  </si>
  <si>
    <t>Bold Wrap Tee</t>
  </si>
  <si>
    <t>Bold Linen Set</t>
  </si>
  <si>
    <t>Elegant Boxy Shoes</t>
  </si>
  <si>
    <t>Bold Linen Tee</t>
  </si>
  <si>
    <t>Essential Boxy Trousers</t>
  </si>
  <si>
    <t>Tailored Wrap Trousers</t>
  </si>
  <si>
    <t>Bold Wrap Shoes</t>
  </si>
  <si>
    <t>Elegant Boxy Dress</t>
  </si>
  <si>
    <t>Bold Wrap Dress</t>
  </si>
  <si>
    <t>Tailored Linen Trousers</t>
  </si>
  <si>
    <t>Bold Linen Shoes</t>
  </si>
  <si>
    <t>Bold Linen Dress</t>
  </si>
  <si>
    <t>Bold Ribbed Dress</t>
  </si>
  <si>
    <t>Bold Ribbed Set</t>
  </si>
  <si>
    <t>Bold Cotton Dress</t>
  </si>
  <si>
    <t>Bold Cotton Set</t>
  </si>
  <si>
    <t>Bold Cotton Tee</t>
  </si>
  <si>
    <t>Bold Satin Dress</t>
  </si>
  <si>
    <t>Bold Silk Dress</t>
  </si>
  <si>
    <t>Bold Satin Set</t>
  </si>
  <si>
    <t>Bold Silk Set</t>
  </si>
  <si>
    <t>Bold Satin Tee</t>
  </si>
  <si>
    <t>Bold Silk Tee</t>
  </si>
  <si>
    <t>Bold Crew Set</t>
  </si>
  <si>
    <t>Tailored Ribbed Trousers</t>
  </si>
  <si>
    <t>Bold Sleeveless Dress</t>
  </si>
  <si>
    <t>Bold Crew Tee</t>
  </si>
  <si>
    <t>Bold Sleeveless Set</t>
  </si>
  <si>
    <t>Bold High-Waist Dress</t>
  </si>
  <si>
    <t>Bold Sleeveless Tee</t>
  </si>
  <si>
    <t>Bold High-Waist Tee</t>
  </si>
  <si>
    <t>Bold High-Waist Set</t>
  </si>
  <si>
    <t>Bold Boxy Dress</t>
  </si>
  <si>
    <t>Bold Ribbed Shoes</t>
  </si>
  <si>
    <t>Bold Boxy Set</t>
  </si>
  <si>
    <t>Bold Boxy Tee</t>
  </si>
  <si>
    <t>Tailored Cotton Trousers</t>
  </si>
  <si>
    <t>Sleepwear Drop 1</t>
  </si>
  <si>
    <t>Dresses Drop 1</t>
  </si>
  <si>
    <t>Sleepwear Drop 2</t>
  </si>
  <si>
    <t>Tailored Satin Trousers</t>
  </si>
  <si>
    <t>Dresses Drop 2</t>
  </si>
  <si>
    <t>Bold Cotton Shoes</t>
  </si>
  <si>
    <t>Dresses Drop 3</t>
  </si>
  <si>
    <t>Bold Satin Shoes</t>
  </si>
  <si>
    <t>Bold Silk Shoes</t>
  </si>
  <si>
    <t>T-Shirts Drop 2</t>
  </si>
  <si>
    <t>Dresses Drop 4</t>
  </si>
  <si>
    <t>Dresses Drop 5</t>
  </si>
  <si>
    <t>Bold Crew Shoes</t>
  </si>
  <si>
    <t>Dresses Drop 6</t>
  </si>
  <si>
    <t>T-Shirts Drop 3</t>
  </si>
  <si>
    <t>Tailored Silk Trousers</t>
  </si>
  <si>
    <t>Bold Sleeveless Shoes</t>
  </si>
  <si>
    <t>T-Shirts Drop 4</t>
  </si>
  <si>
    <t>Bold High-Waist Shoes</t>
  </si>
  <si>
    <t>Sleepwear Drop 3</t>
  </si>
  <si>
    <t>T-Shirts Drop 5</t>
  </si>
  <si>
    <t>Bold Boxy Shoes</t>
  </si>
  <si>
    <t>T-Shirts Drop 6</t>
  </si>
  <si>
    <t>Tailored Crew Trousers</t>
  </si>
  <si>
    <t>Tailored Sleeveless Trousers</t>
  </si>
  <si>
    <t>T-Shirts Drop 7</t>
  </si>
  <si>
    <t>Dresses Drop 7</t>
  </si>
  <si>
    <t>Dresses Drop 8</t>
  </si>
  <si>
    <t>T-Shirts Drop 8</t>
  </si>
  <si>
    <t>Sleepwear Drop 4</t>
  </si>
  <si>
    <t>Dresses Drop 9</t>
  </si>
  <si>
    <t>Total general</t>
  </si>
  <si>
    <t>Stock</t>
  </si>
  <si>
    <t>brand</t>
  </si>
  <si>
    <t>color</t>
  </si>
  <si>
    <t>size</t>
  </si>
  <si>
    <t>catalog_price</t>
  </si>
  <si>
    <t>cost_price</t>
  </si>
  <si>
    <t>gender</t>
  </si>
  <si>
    <t>Tiva</t>
  </si>
  <si>
    <t>Green</t>
  </si>
  <si>
    <t>S</t>
  </si>
  <si>
    <t>Female</t>
  </si>
  <si>
    <t>White</t>
  </si>
  <si>
    <t>XL</t>
  </si>
  <si>
    <t>Blue</t>
  </si>
  <si>
    <t>M</t>
  </si>
  <si>
    <t>Red</t>
  </si>
  <si>
    <t>Black</t>
  </si>
  <si>
    <t>L</t>
  </si>
  <si>
    <t>XS</t>
  </si>
  <si>
    <t>Category</t>
  </si>
  <si>
    <t>Product</t>
  </si>
  <si>
    <t>Product ID</t>
  </si>
  <si>
    <t>Country</t>
  </si>
  <si>
    <t>Sale ID</t>
  </si>
  <si>
    <t>Channel</t>
  </si>
  <si>
    <t>Discount</t>
  </si>
  <si>
    <t>Total amount</t>
  </si>
  <si>
    <t>Sale date</t>
  </si>
  <si>
    <t>Month</t>
  </si>
  <si>
    <t>Client ID</t>
  </si>
  <si>
    <t>Monthly sales trajectory</t>
  </si>
  <si>
    <t>Sales volume and average ticket by country</t>
  </si>
  <si>
    <t>Total sales by channel</t>
  </si>
  <si>
    <t>VIP customer identification (&gt;$1.500)</t>
  </si>
  <si>
    <t>Profit margin by product category</t>
  </si>
  <si>
    <t>Total Revenue</t>
  </si>
  <si>
    <t>Average Order Value</t>
  </si>
  <si>
    <t>VIP Customer Revenue</t>
  </si>
  <si>
    <t>Most Profitable Category</t>
  </si>
  <si>
    <t>April</t>
  </si>
  <si>
    <t>June</t>
  </si>
  <si>
    <t>May</t>
  </si>
  <si>
    <t>Sum of Total amount</t>
  </si>
  <si>
    <r>
      <rPr>
        <b/>
        <sz val="26"/>
        <color theme="1"/>
        <rFont val="Trebuchet MS"/>
        <family val="2"/>
        <scheme val="minor"/>
      </rPr>
      <t>FASHION STORE EU</t>
    </r>
    <r>
      <rPr>
        <sz val="26"/>
        <color theme="1"/>
        <rFont val="Trebuchet MS"/>
        <family val="2"/>
        <scheme val="minor"/>
      </rPr>
      <t xml:space="preserve"> - Sales &amp; Profitability Analysis - Period 04/25 to 06/25</t>
    </r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</si>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</sst>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&quot;$&quot;\ #,##0.00"/>
    <numFmt numFmtId="165" formatCode="&quot;$&quot;\ #,##0"/>
    <numFmt numFmtId="166" formatCode="yyyy\-mm\-dd"/>
  </numFmts>
  <fonts count="14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6"/>
      <color theme="1"/>
      <name val="Trebuchet MS"/>
      <family val="2"/>
      <scheme val="minor"/>
    </font>
    <font>
      <sz val="18"/>
      <color theme="1"/>
      <name val="Trebuchet MS"/>
      <family val="2"/>
      <scheme val="minor"/>
    </font>
    <font>
      <sz val="20"/>
      <color theme="1"/>
      <name val="Trebuchet MS"/>
      <family val="2"/>
      <scheme val="minor"/>
    </font>
    <font>
      <b/>
      <sz val="18"/>
      <color theme="1"/>
      <name val="Trebuchet MS"/>
      <family val="2"/>
      <scheme val="minor"/>
    </font>
    <font>
      <sz val="24"/>
      <color theme="1"/>
      <name val="Trebuchet MS"/>
      <family val="2"/>
      <scheme val="minor"/>
    </font>
    <font>
      <sz val="23"/>
      <color theme="1"/>
      <name val="Trebuchet MS"/>
      <family val="2"/>
      <scheme val="minor"/>
    </font>
    <font>
      <b/>
      <i/>
      <sz val="17"/>
      <color theme="1"/>
      <name val="Trebuchet MS"/>
      <family val="2"/>
      <scheme val="minor"/>
    </font>
    <font>
      <sz val="8"/>
      <color theme="1"/>
      <name val="Trebuchet MS"/>
      <family val="2"/>
      <scheme val="minor"/>
    </font>
    <font>
      <sz val="26"/>
      <color theme="1"/>
      <name val="Trebuchet MS"/>
      <family val="2"/>
      <scheme val="minor"/>
    </font>
    <font>
      <b/>
      <sz val="26"/>
      <color theme="1"/>
      <name val="Trebuchet MS"/>
      <family val="2"/>
      <scheme val="minor"/>
    </font>
    <font>
      <sz val="22"/>
      <color theme="1"/>
      <name val="Trebuchet M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4" fillId="0" borderId="0" xfId="0" applyFont="1" applyAlignment="1"/>
    <xf numFmtId="164" fontId="3" fillId="0" borderId="0" xfId="0" applyNumberFormat="1" applyFont="1" applyAlignment="1">
      <alignment horizontal="center"/>
    </xf>
    <xf numFmtId="0" fontId="5" fillId="0" borderId="0" xfId="0" applyFont="1" applyAlignment="1"/>
    <xf numFmtId="0" fontId="6" fillId="0" borderId="0" xfId="0" applyFont="1"/>
    <xf numFmtId="164" fontId="9" fillId="0" borderId="0" xfId="0" applyNumberFormat="1" applyFont="1" applyAlignment="1">
      <alignment horizontal="center"/>
    </xf>
    <xf numFmtId="166" fontId="0" fillId="0" borderId="0" xfId="0" applyNumberFormat="1"/>
    <xf numFmtId="0" fontId="10" fillId="0" borderId="0" xfId="0" applyFont="1" applyAlignment="1">
      <alignment horizontal="center"/>
    </xf>
    <xf numFmtId="0" fontId="8" fillId="0" borderId="0" xfId="0" applyFont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7" fillId="0" borderId="0" xfId="0" applyNumberFormat="1" applyFont="1" applyBorder="1" applyAlignment="1">
      <alignment horizontal="center"/>
    </xf>
    <xf numFmtId="0" fontId="2" fillId="0" borderId="0" xfId="0" applyFont="1" applyAlignme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5" fontId="13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166" formatCode="yyyy\-mm\-dd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  <dxf>
      <numFmt numFmtId="164" formatCode="&quot;$&quot;\ #,##0.00"/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s-AR"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AR" sz="1600" b="1" i="0" u="none" strike="noStrike" baseline="0">
                <a:effectLst/>
              </a:rPr>
              <a:t>Monthly Sales Trend</a:t>
            </a:r>
            <a:endParaRPr lang="es-AR" sz="16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s-AR" sz="16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'SQL tables'!$J$3</c:f>
              <c:strCache>
                <c:ptCount val="1"/>
                <c:pt idx="0">
                  <c:v>total_sales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'SQL tables'!$I$4:$I$6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'SQL tables'!$J$4:$J$6</c:f>
              <c:numCache>
                <c:formatCode>"$"\ #,##0.00</c:formatCode>
                <c:ptCount val="3"/>
                <c:pt idx="0">
                  <c:v>133392.44</c:v>
                </c:pt>
                <c:pt idx="1">
                  <c:v>141922.21</c:v>
                </c:pt>
                <c:pt idx="2">
                  <c:v>48922.01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7D-450E-9464-A95D3CD94C8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732912879"/>
        <c:axId val="1732913711"/>
      </c:barChart>
      <c:catAx>
        <c:axId val="173291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2913711"/>
        <c:crosses val="autoZero"/>
        <c:auto val="1"/>
        <c:lblAlgn val="ctr"/>
        <c:lblOffset val="100"/>
        <c:noMultiLvlLbl val="0"/>
      </c:catAx>
      <c:valAx>
        <c:axId val="1732913711"/>
        <c:scaling>
          <c:orientation val="minMax"/>
        </c:scaling>
        <c:delete val="1"/>
        <c:axPos val="l"/>
        <c:numFmt formatCode="&quot;$&quot;\ #,##0.00" sourceLinked="1"/>
        <c:majorTickMark val="none"/>
        <c:minorTickMark val="none"/>
        <c:tickLblPos val="nextTo"/>
        <c:crossAx val="173291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600" b="1" i="0" u="none" strike="noStrike" baseline="0"/>
              <a:t>Sales by Channel</a:t>
            </a:r>
            <a:endParaRPr lang="en-US" sz="16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'SQL tables'!$C$3</c:f>
              <c:strCache>
                <c:ptCount val="1"/>
                <c:pt idx="0">
                  <c:v>total_sales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35C-42E0-9B0E-4CC6EDCF73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35C-42E0-9B0E-4CC6EDCF73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'SQL tables'!$B$4:$B$5</c:f>
              <c:strCache>
                <c:ptCount val="2"/>
                <c:pt idx="0">
                  <c:v>E-commerce</c:v>
                </c:pt>
                <c:pt idx="1">
                  <c:v>App Mobile</c:v>
                </c:pt>
              </c:strCache>
            </c:strRef>
          </c:cat>
          <c:val>
            <c:numRef>
              <c:f>'SQL tables'!$C$4:$C$5</c:f>
              <c:numCache>
                <c:formatCode>"$"\ #,##0.00</c:formatCode>
                <c:ptCount val="2"/>
                <c:pt idx="0">
                  <c:v>171675.72</c:v>
                </c:pt>
                <c:pt idx="1">
                  <c:v>152560.94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5C-42E0-9B0E-4CC6EDCF732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600" b="1" i="0" u="none" strike="noStrike" baseline="0"/>
              <a:t>Sales Volume by Country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'SQL tables'!$F$3</c:f>
              <c:strCache>
                <c:ptCount val="1"/>
                <c:pt idx="0">
                  <c:v>sales_volume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'SQL tables'!$E$4:$E$9</c:f>
              <c:strCache>
                <c:ptCount val="6"/>
                <c:pt idx="0">
                  <c:v>Portugal</c:v>
                </c:pt>
                <c:pt idx="1">
                  <c:v>Spain</c:v>
                </c:pt>
                <c:pt idx="2">
                  <c:v>Netherlands</c:v>
                </c:pt>
                <c:pt idx="3">
                  <c:v>Italy</c:v>
                </c:pt>
                <c:pt idx="4">
                  <c:v>France</c:v>
                </c:pt>
                <c:pt idx="5">
                  <c:v>Germany</c:v>
                </c:pt>
              </c:strCache>
            </c:strRef>
          </c:cat>
          <c:val>
            <c:numRef>
              <c:f>'SQL tables'!$F$4:$F$9</c:f>
              <c:numCache>
                <c:formatCode>General</c:formatCode>
                <c:ptCount val="6"/>
                <c:pt idx="0">
                  <c:v>80</c:v>
                </c:pt>
                <c:pt idx="1">
                  <c:v>113</c:v>
                </c:pt>
                <c:pt idx="2">
                  <c:v>131</c:v>
                </c:pt>
                <c:pt idx="3">
                  <c:v>170</c:v>
                </c:pt>
                <c:pt idx="4">
                  <c:v>199</c:v>
                </c:pt>
                <c:pt idx="5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9-4550-B452-7CE019E2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74110015"/>
        <c:axId val="1774111263"/>
        <c:axId val="0"/>
      </c:bar3DChart>
      <c:catAx>
        <c:axId val="1774110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74111263"/>
        <c:crosses val="autoZero"/>
        <c:auto val="1"/>
        <c:lblAlgn val="ctr"/>
        <c:lblOffset val="100"/>
        <c:noMultiLvlLbl val="0"/>
      </c:catAx>
      <c:valAx>
        <c:axId val="177411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7411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600" b="1" i="0" u="none" strike="noStrike" baseline="0"/>
              <a:t>Profit Margin by Category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'SQL tables'!$I$14</c:f>
              <c:strCache>
                <c:ptCount val="1"/>
                <c:pt idx="0">
                  <c:v>product_profit_margin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'SQL tables'!$H$15:$H$19</c:f>
              <c:strCache>
                <c:ptCount val="5"/>
                <c:pt idx="0">
                  <c:v>T-Shirts</c:v>
                </c:pt>
                <c:pt idx="1">
                  <c:v>Shoes</c:v>
                </c:pt>
                <c:pt idx="2">
                  <c:v>Dresses</c:v>
                </c:pt>
                <c:pt idx="3">
                  <c:v>Sleepwear</c:v>
                </c:pt>
                <c:pt idx="4">
                  <c:v>Pants</c:v>
                </c:pt>
              </c:strCache>
            </c:strRef>
          </c:cat>
          <c:val>
            <c:numRef>
              <c:f>'SQL tables'!$I$15:$I$19</c:f>
              <c:numCache>
                <c:formatCode>"$"\ #,##0.00</c:formatCode>
                <c:ptCount val="5"/>
                <c:pt idx="0">
                  <c:v>30782.67</c:v>
                </c:pt>
                <c:pt idx="1">
                  <c:v>30473.47</c:v>
                </c:pt>
                <c:pt idx="2">
                  <c:v>29846.84</c:v>
                </c:pt>
                <c:pt idx="3">
                  <c:v>26000.58</c:v>
                </c:pt>
                <c:pt idx="4">
                  <c:v>24049.94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2-46D0-A5CE-72169C6C677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09536335"/>
        <c:axId val="2009537999"/>
      </c:barChart>
      <c:catAx>
        <c:axId val="200953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09537999"/>
        <c:crosses val="autoZero"/>
        <c:auto val="1"/>
        <c:lblAlgn val="ctr"/>
        <c:lblOffset val="100"/>
        <c:noMultiLvlLbl val="0"/>
      </c:catAx>
      <c:valAx>
        <c:axId val="200953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0953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[fashion_store_eu.xlsx]Sales table!TablaDinámica19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AR" sz="1800" b="1"/>
              <a:t>Total Sales by Country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A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table'!$L$5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table'!$K$6:$K$12</c:f>
              <c:strCache>
                <c:ptCount val="6"/>
                <c:pt idx="0">
                  <c:v>Germany</c:v>
                </c:pt>
                <c:pt idx="1">
                  <c:v>France</c:v>
                </c:pt>
                <c:pt idx="2">
                  <c:v>Italy</c:v>
                </c:pt>
                <c:pt idx="3">
                  <c:v>Netherlands</c:v>
                </c:pt>
                <c:pt idx="4">
                  <c:v>Spain</c:v>
                </c:pt>
                <c:pt idx="5">
                  <c:v>Portugal</c:v>
                </c:pt>
              </c:strCache>
            </c:strRef>
          </c:cat>
          <c:val>
            <c:numRef>
              <c:f>'Sales table'!$L$6:$L$12</c:f>
              <c:numCache>
                <c:formatCode>"$"\ #,##0.00</c:formatCode>
                <c:ptCount val="6"/>
                <c:pt idx="0">
                  <c:v>32968.17</c:v>
                </c:pt>
                <c:pt idx="1">
                  <c:v>31483.700000000004</c:v>
                </c:pt>
                <c:pt idx="2">
                  <c:v>29246.63</c:v>
                </c:pt>
                <c:pt idx="3">
                  <c:v>23650.310000000005</c:v>
                </c:pt>
                <c:pt idx="4">
                  <c:v>13644.120000000003</c:v>
                </c:pt>
                <c:pt idx="5">
                  <c:v>10929.280000000002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85-40A9-97A0-4EEEE5A722C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727814623"/>
        <c:axId val="1727815455"/>
      </c:barChart>
      <c:catAx>
        <c:axId val="172781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27815455"/>
        <c:crosses val="autoZero"/>
        <c:auto val="1"/>
        <c:lblAlgn val="ctr"/>
        <c:lblOffset val="100"/>
        <c:noMultiLvlLbl val="0"/>
      </c:catAx>
      <c:valAx>
        <c:axId val="172781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2781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66673</xdr:rowOff>
    </xdr:from>
    <xdr:to>
      <xdr:col>3</xdr:col>
      <xdr:colOff>619125</xdr:colOff>
      <xdr:row>21</xdr:row>
      <xdr:rowOff>200024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A5B524A-87E1-4172-B6D6-5143ADEFF4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647701</xdr:colOff>
      <xdr:row>8</xdr:row>
      <xdr:rowOff>67212</xdr:rowOff>
    </xdr:from>
    <xdr:to>
      <xdr:col>6</xdr:col>
      <xdr:colOff>66675</xdr:colOff>
      <xdr:row>22</xdr:row>
      <xdr:rowOff>2017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0F9363F-5475-4186-861E-28FFEAD9E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95624</xdr:colOff>
      <xdr:row>8</xdr:row>
      <xdr:rowOff>68754</xdr:rowOff>
    </xdr:from>
    <xdr:to>
      <xdr:col>10</xdr:col>
      <xdr:colOff>323850</xdr:colOff>
      <xdr:row>22</xdr:row>
      <xdr:rowOff>13461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8F71A92-15E5-4B63-855C-F87CD9DB4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349991</xdr:colOff>
      <xdr:row>8</xdr:row>
      <xdr:rowOff>70766</xdr:rowOff>
    </xdr:from>
    <xdr:to>
      <xdr:col>14</xdr:col>
      <xdr:colOff>295275</xdr:colOff>
      <xdr:row>22</xdr:row>
      <xdr:rowOff>13271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DB113F2-624E-4CB8-B375-2FC861778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288133</xdr:colOff>
      <xdr:row>22</xdr:row>
      <xdr:rowOff>150017</xdr:rowOff>
    </xdr:from>
    <xdr:to>
      <xdr:col>7</xdr:col>
      <xdr:colOff>571502</xdr:colOff>
      <xdr:row>37</xdr:row>
      <xdr:rowOff>83342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FD001AD-3C39-4F31-83EB-AE5AAD42BE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4</xdr:row>
      <xdr:rowOff>190500</xdr:rowOff>
    </xdr:to>
    <xdr:sp macro="" textlink="">
      <xdr:nvSpPr>
        <xdr:cNvPr id="1025" name="AutoShape 1" descr="Lagorii Kids fashion Store - Apps en Google Play">
          <a:extLst>
            <a:ext uri="{FF2B5EF4-FFF2-40B4-BE49-F238E27FC236}">
              <a16:creationId xmlns:a16="http://schemas.microsoft.com/office/drawing/2014/main" id="{093C553F-09D4-458B-9992-F2391D29F4A4}"/>
            </a:ext>
          </a:extLst>
        </xdr:cNvPr>
        <xdr:cNvSpPr>
          <a:spLocks noChangeAspect="1" noChangeArrowheads="1"/>
        </xdr:cNvSpPr>
      </xdr:nvSpPr>
      <xdr:spPr bwMode="auto">
        <a:xfrm>
          <a:off x="2543175" y="6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171451</xdr:colOff>
      <xdr:row>1</xdr:row>
      <xdr:rowOff>9527</xdr:rowOff>
    </xdr:from>
    <xdr:to>
      <xdr:col>0</xdr:col>
      <xdr:colOff>561974</xdr:colOff>
      <xdr:row>1</xdr:row>
      <xdr:rowOff>398350</xdr:rowOff>
    </xdr:to>
    <xdr:pic>
      <xdr:nvPicPr>
        <xdr:cNvPr id="15" name="Imagen 14" descr="Lagorii Kids fashion Store - Apps en Google Play">
          <a:extLst>
            <a:ext uri="{FF2B5EF4-FFF2-40B4-BE49-F238E27FC236}">
              <a16:creationId xmlns:a16="http://schemas.microsoft.com/office/drawing/2014/main" id="{0ABA646B-754A-4EB1-82C6-76A11AEF8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1" y="161927"/>
          <a:ext cx="390523" cy="390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272143</xdr:colOff>
      <xdr:row>23</xdr:row>
      <xdr:rowOff>200366</xdr:rowOff>
    </xdr:from>
    <xdr:to>
      <xdr:col>2</xdr:col>
      <xdr:colOff>96951</xdr:colOff>
      <xdr:row>29</xdr:row>
      <xdr:rowOff>3401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hannel">
              <a:extLst>
                <a:ext uri="{FF2B5EF4-FFF2-40B4-BE49-F238E27FC236}">
                  <a16:creationId xmlns:a16="http://schemas.microsoft.com/office/drawing/2014/main" id="{BDE8772D-1782-40C3-A6F2-7439E45F22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5786" y="5126152"/>
              <a:ext cx="1525701" cy="10276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272143</xdr:colOff>
      <xdr:row>29</xdr:row>
      <xdr:rowOff>91510</xdr:rowOff>
    </xdr:from>
    <xdr:to>
      <xdr:col>2</xdr:col>
      <xdr:colOff>108857</xdr:colOff>
      <xdr:row>36</xdr:row>
      <xdr:rowOff>13606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onth">
              <a:extLst>
                <a:ext uri="{FF2B5EF4-FFF2-40B4-BE49-F238E27FC236}">
                  <a16:creationId xmlns:a16="http://schemas.microsoft.com/office/drawing/2014/main" id="{03E57CB0-F9EB-4772-ADD4-6D57286BAE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5786" y="6241939"/>
              <a:ext cx="1537607" cy="13508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440531</xdr:colOff>
      <xdr:row>24</xdr:row>
      <xdr:rowOff>183358</xdr:rowOff>
    </xdr:from>
    <xdr:to>
      <xdr:col>9</xdr:col>
      <xdr:colOff>202406</xdr:colOff>
      <xdr:row>34</xdr:row>
      <xdr:rowOff>68037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tegory">
              <a:extLst>
                <a:ext uri="{FF2B5EF4-FFF2-40B4-BE49-F238E27FC236}">
                  <a16:creationId xmlns:a16="http://schemas.microsoft.com/office/drawing/2014/main" id="{4488D169-25D1-4821-9FCD-8D335421D7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96602" y="5313251"/>
              <a:ext cx="1530804" cy="1925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oma Ferrero" refreshedDate="46236.457975231482" missingItemsLimit="0" createdVersion="7" refreshedVersion="7" minRefreshableVersion="3" recordCount="500" xr:uid="{8BADAC16-07FB-42F6-824B-7C3582DA50A8}">
  <cacheSource type="worksheet">
    <worksheetSource name="Tabla36"/>
  </cacheSource>
  <cacheFields count="5">
    <cacheField name="Country" numFmtId="0">
      <sharedItems/>
    </cacheField>
    <cacheField name="Product ID" numFmtId="0">
      <sharedItems containsSemiMixedTypes="0" containsString="0" containsNumber="1" containsInteger="1" minValue="1" maxValue="500"/>
    </cacheField>
    <cacheField name="Stock" numFmtId="0">
      <sharedItems containsSemiMixedTypes="0" containsString="0" containsNumber="1" containsInteger="1" minValue="1" maxValue="99"/>
    </cacheField>
    <cacheField name="Product" numFmtId="0">
      <sharedItems count="500">
        <s v="Soft Wrap Dress"/>
        <s v="Soft Wrap Tee"/>
        <s v="Soft Linen Tee"/>
        <s v="Soft Ribbed Tee"/>
        <s v="Soft Wrap Trousers"/>
        <s v="Soft Wrap Shoes"/>
        <s v="Soft Linen Dress"/>
        <s v="Soft Linen Trousers"/>
        <s v="Soft Linen Shoes"/>
        <s v="Soft Ribbed Trousers"/>
        <s v="Soft Ribbed Shoes"/>
        <s v="Soft Ribbed Dress"/>
        <s v="Soft Cotton Shoes"/>
        <s v="Soft Cotton Dress"/>
        <s v="Soft Cotton Tee"/>
        <s v="Soft Cotton Trousers"/>
        <s v="Soft Satin Dress"/>
        <s v="Soft Satin Shoes"/>
        <s v="Soft Silk Dress"/>
        <s v="Soft Crew Dress"/>
        <s v="Soft Silk Shoes"/>
        <s v="Soft Satin Tee"/>
        <s v="Soft Sleeveless Dress"/>
        <s v="Soft High-Waist Dress"/>
        <s v="Soft Wrap Set"/>
        <s v="Soft Crew Shoes"/>
        <s v="Soft Boxy Dress"/>
        <s v="Soft Sleeveless Shoes"/>
        <s v="Soft Linen Set"/>
        <s v="Soft Satin Trousers"/>
        <s v="Soft Silk Trousers"/>
        <s v="Soft Silk Tee"/>
        <s v="Modern Wrap Dress"/>
        <s v="Modern Linen Dress"/>
        <s v="Modern Ribbed Dress"/>
        <s v="Modern Cotton Dress"/>
        <s v="Soft Crew Trousers"/>
        <s v="Soft Crew Tee"/>
        <s v="Soft Sleeveless Trousers"/>
        <s v="Soft High-Waist Trousers"/>
        <s v="Soft Boxy Trousers"/>
        <s v="Soft Ribbed Set"/>
        <s v="Modern Satin Dress"/>
        <s v="Modern Wrap Trousers"/>
        <s v="Soft Sleeveless Tee"/>
        <s v="Soft Cotton Set"/>
        <s v="Soft High-Waist Tee"/>
        <s v="Soft High-Waist Shoes"/>
        <s v="Soft Boxy Tee"/>
        <s v="Modern Wrap Tee"/>
        <s v="Soft Satin Set"/>
        <s v="Modern Linen Tee"/>
        <s v="Soft Boxy Shoes"/>
        <s v="Modern Silk Dress"/>
        <s v="Modern Ribbed Tee"/>
        <s v="Modern Wrap Shoes"/>
        <s v="Modern Crew Dress"/>
        <s v="Modern Sleeveless Dress"/>
        <s v="Soft Silk Set"/>
        <s v="Modern Cotton Tee"/>
        <s v="Modern Satin Tee"/>
        <s v="Modern Linen Trousers"/>
        <s v="Soft Crew Set"/>
        <s v="Soft Sleeveless Set"/>
        <s v="Modern Silk Tee"/>
        <s v="Modern High-Waist Dress"/>
        <s v="Modern Crew Tee"/>
        <s v="Soft High-Waist Set"/>
        <s v="Modern Linen Shoes"/>
        <s v="Modern Boxy Dress"/>
        <s v="Modern Ribbed Trousers"/>
        <s v="Classic Wrap Dress"/>
        <s v="Soft Boxy Set"/>
        <s v="Modern Wrap Set"/>
        <s v="Modern Linen Set"/>
        <s v="Modern Cotton Trousers"/>
        <s v="Classic Linen Dress"/>
        <s v="Modern Ribbed Shoes"/>
        <s v="Modern Satin Trousers"/>
        <s v="Classic Ribbed Dress"/>
        <s v="Modern Ribbed Set"/>
        <s v="Classic Cotton Dress"/>
        <s v="Modern Sleeveless Tee"/>
        <s v="Modern Cotton Shoes"/>
        <s v="Classic Satin Dress"/>
        <s v="Modern Cotton Set"/>
        <s v="Classic Silk Dress"/>
        <s v="Modern Satin Set"/>
        <s v="Modern Satin Shoes"/>
        <s v="Modern Silk Shoes"/>
        <s v="Modern Silk Set"/>
        <s v="Modern Crew Shoes"/>
        <s v="Modern Silk Trousers"/>
        <s v="Modern Sleeveless Shoes"/>
        <s v="Modern Crew Set"/>
        <s v="Modern High-Waist Tee"/>
        <s v="Modern High-Waist Shoes"/>
        <s v="Modern Boxy Shoes"/>
        <s v="Modern Boxy Tee"/>
        <s v="Classic Crew Dress"/>
        <s v="Classic Wrap Tee"/>
        <s v="Classic Linen Tee"/>
        <s v="Classic Ribbed Tee"/>
        <s v="Classic Wrap Shoes"/>
        <s v="Classic Cotton Tee"/>
        <s v="Classic Satin Tee"/>
        <s v="Classic Linen Shoes"/>
        <s v="Modern Crew Trousers"/>
        <s v="Classic Sleeveless Dress"/>
        <s v="Classic High-Waist Dress"/>
        <s v="Modern Sleeveless Trousers"/>
        <s v="Modern Sleeveless Set"/>
        <s v="Classic Boxy Dress"/>
        <s v="Classic Ribbed Shoes"/>
        <s v="Modern High-Waist Set"/>
        <s v="Modern High-Waist Trousers"/>
        <s v="Vintage Wrap Dress"/>
        <s v="Classic Silk Tee"/>
        <s v="Vintage Linen Dress"/>
        <s v="Modern Boxy Set"/>
        <s v="Classic Cotton Shoes"/>
        <s v="Modern Boxy Trousers"/>
        <s v="Classic Wrap Set"/>
        <s v="Classic Linen Set"/>
        <s v="Classic Satin Shoes"/>
        <s v="Classic Silk Shoes"/>
        <s v="Classic Wrap Trousers"/>
        <s v="Classic Crew Tee"/>
        <s v="Classic Linen Trousers"/>
        <s v="Classic Ribbed Set"/>
        <s v="Classic Cotton Set"/>
        <s v="Classic Crew Shoes"/>
        <s v="Classic Sleeveless Tee"/>
        <s v="Classic Ribbed Trousers"/>
        <s v="Classic Sleeveless Shoes"/>
        <s v="Classic Cotton Trousers"/>
        <s v="Classic Satin Trousers"/>
        <s v="Classic High-Waist Shoes"/>
        <s v="Classic High-Waist Tee"/>
        <s v="Vintage Ribbed Dress"/>
        <s v="Vintage Cotton Dress"/>
        <s v="Vintage Satin Dress"/>
        <s v="Classic Satin Set"/>
        <s v="Classic Silk Trousers"/>
        <s v="Classic Boxy Shoes"/>
        <s v="Vintage Wrap Shoes"/>
        <s v="Vintage Linen Shoes"/>
        <s v="Classic Boxy Tee"/>
        <s v="Classic Crew Trousers"/>
        <s v="Vintage Wrap Tee"/>
        <s v="Classic Sleeveless Trousers"/>
        <s v="Classic Silk Set"/>
        <s v="Vintage Ribbed Shoes"/>
        <s v="Classic Crew Set"/>
        <s v="Vintage Silk Dress"/>
        <s v="Vintage Crew Dress"/>
        <s v="Classic Sleeveless Set"/>
        <s v="Vintage Sleeveless Dress"/>
        <s v="Classic High-Waist Trousers"/>
        <s v="Classic High-Waist Set"/>
        <s v="Vintage Linen Tee"/>
        <s v="Classic Boxy Set"/>
        <s v="Vintage Wrap Set"/>
        <s v="Vintage High-Waist Dress"/>
        <s v="Vintage Cotton Shoes"/>
        <s v="Vintage Satin Shoes"/>
        <s v="Vintage Silk Shoes"/>
        <s v="Vintage Ribbed Tee"/>
        <s v="Vintage Linen Set"/>
        <s v="Vintage Boxy Dress"/>
        <s v="Polished Wrap Dress"/>
        <s v="Vintage Crew Shoes"/>
        <s v="Polished Linen Dress"/>
        <s v="Vintage Ribbed Set"/>
        <s v="Vintage Cotton Tee"/>
        <s v="Polished Ribbed Dress"/>
        <s v="Vintage Cotton Set"/>
        <s v="Classic Boxy Trousers"/>
        <s v="Vintage Satin Tee"/>
        <s v="Vintage Sleeveless Shoes"/>
        <s v="Vintage High-Waist Shoes"/>
        <s v="Vintage Satin Set"/>
        <s v="Vintage Silk Set"/>
        <s v="Vintage Wrap Trousers"/>
        <s v="Vintage Linen Trousers"/>
        <s v="Vintage Boxy Shoes"/>
        <s v="Vintage Ribbed Trousers"/>
        <s v="Polished Wrap Shoes"/>
        <s v="Vintage Crew Set"/>
        <s v="Polished Cotton Dress"/>
        <s v="Polished Satin Dress"/>
        <s v="Polished Silk Dress"/>
        <s v="Vintage Silk Tee"/>
        <s v="Vintage Sleeveless Set"/>
        <s v="Vintage Crew Tee"/>
        <s v="Vintage Cotton Trousers"/>
        <s v="Polished Linen Shoes"/>
        <s v="Polished Crew Dress"/>
        <s v="Polished Sleeveless Dress"/>
        <s v="Vintage High-Waist Set"/>
        <s v="Vintage Sleeveless Tee"/>
        <s v="Vintage High-Waist Tee"/>
        <s v="Polished High-Waist Dress"/>
        <s v="Polished Boxy Dress"/>
        <s v="Vintage Satin Trousers"/>
        <s v="Vintage Silk Trousers"/>
        <s v="Vintage Boxy Tee"/>
        <s v="Polished Wrap Tee"/>
        <s v="Polished Ribbed Shoes"/>
        <s v="Vintage Boxy Set"/>
        <s v="Polished Cotton Shoes"/>
        <s v="Polished Linen Tee"/>
        <s v="Polished Ribbed Tee"/>
        <s v="Vintage Crew Trousers"/>
        <s v="Vintage Sleeveless Trousers"/>
        <s v="Polished Satin Shoes"/>
        <s v="Polished Cotton Tee"/>
        <s v="Polished Satin Tee"/>
        <s v="Polished Silk Shoes"/>
        <s v="Polished Wrap Set"/>
        <s v="Polished Silk Tee"/>
        <s v="Relaxed Wrap Dress"/>
        <s v="Vintage High-Waist Trousers"/>
        <s v="Relaxed Linen Dress"/>
        <s v="Polished Crew Shoes"/>
        <s v="Polished Linen Set"/>
        <s v="Polished Crew Tee"/>
        <s v="Vintage Boxy Trousers"/>
        <s v="Polished Sleeveless Shoes"/>
        <s v="Polished Ribbed Set"/>
        <s v="Polished High-Waist Shoes"/>
        <s v="Polished Boxy Shoes"/>
        <s v="Relaxed Wrap Shoes"/>
        <s v="Polished Sleeveless Tee"/>
        <s v="Polished Cotton Set"/>
        <s v="Relaxed Linen Shoes"/>
        <s v="Relaxed Ribbed Dress"/>
        <s v="Polished High-Waist Tee"/>
        <s v="Polished Wrap Trousers"/>
        <s v="Polished Linen Trousers"/>
        <s v="Polished Ribbed Trousers"/>
        <s v="Relaxed Ribbed Shoes"/>
        <s v="Polished Satin Set"/>
        <s v="Relaxed Cotton Shoes"/>
        <s v="Relaxed Cotton Dress"/>
        <s v="Relaxed Satin Dress"/>
        <s v="Polished Cotton Trousers"/>
        <s v="Polished Boxy Tee"/>
        <s v="Polished Silk Set"/>
        <s v="Relaxed Satin Shoes"/>
        <s v="Relaxed Wrap Tee"/>
        <s v="Relaxed Linen Tee"/>
        <s v="Relaxed Ribbed Tee"/>
        <s v="Relaxed Silk Shoes"/>
        <s v="Polished Satin Trousers"/>
        <s v="Polished Crew Set"/>
        <s v="Relaxed Crew Shoes"/>
        <s v="Relaxed Sleeveless Shoes"/>
        <s v="Polished Silk Trousers"/>
        <s v="Relaxed Silk Dress"/>
        <s v="Relaxed Cotton Tee"/>
        <s v="Polished Sleeveless Set"/>
        <s v="Relaxed High-Waist Shoes"/>
        <s v="Relaxed Satin Tee"/>
        <s v="Relaxed Boxy Shoes"/>
        <s v="Polished Crew Trousers"/>
        <s v="Polished High-Waist Set"/>
        <s v="Polished Boxy Set"/>
        <s v="Relaxed Crew Dress"/>
        <s v="Relaxed Silk Tee"/>
        <s v="Essential Wrap Shoes"/>
        <s v="Essential Linen Shoes"/>
        <s v="Relaxed Crew Tee"/>
        <s v="Relaxed Wrap Set"/>
        <s v="Relaxed Sleeveless Tee"/>
        <s v="Relaxed High-Waist Tee"/>
        <s v="Relaxed Boxy Tee"/>
        <s v="Essential Wrap Tee"/>
        <s v="Relaxed Linen Set"/>
        <s v="Essential Linen Tee"/>
        <s v="Polished Sleeveless Trousers"/>
        <s v="Polished High-Waist Trousers"/>
        <s v="Essential Ribbed Shoes"/>
        <s v="Essential Cotton Shoes"/>
        <s v="Relaxed Sleeveless Dress"/>
        <s v="Essential Satin Shoes"/>
        <s v="Relaxed Ribbed Set"/>
        <s v="Essential Ribbed Tee"/>
        <s v="Relaxed High-Waist Dress"/>
        <s v="Relaxed Cotton Set"/>
        <s v="Essential Silk Shoes"/>
        <s v="Essential Cotton Tee"/>
        <s v="Essential Crew Shoes"/>
        <s v="Essential Sleeveless Shoes"/>
        <s v="Polished Boxy Trousers"/>
        <s v="Relaxed Boxy Dress"/>
        <s v="Essential High-Waist Shoes"/>
        <s v="Essential Boxy Shoes"/>
        <s v="Essential Wrap Dress"/>
        <s v="Tailored Wrap Shoes"/>
        <s v="Essential Linen Dress"/>
        <s v="Essential Satin Tee"/>
        <s v="Relaxed Satin Set"/>
        <s v="Essential Silk Tee"/>
        <s v="Relaxed Wrap Trousers"/>
        <s v="Relaxed Silk Set"/>
        <s v="Essential Crew Tee"/>
        <s v="Relaxed Linen Trousers"/>
        <s v="Essential Ribbed Dress"/>
        <s v="Relaxed Ribbed Trousers"/>
        <s v="Essential Cotton Dress"/>
        <s v="Essential Satin Dress"/>
        <s v="Relaxed Crew Set"/>
        <s v="Relaxed Sleeveless Set"/>
        <s v="Essential Sleeveless Tee"/>
        <s v="Essential High-Waist Tee"/>
        <s v="Relaxed High-Waist Set"/>
        <s v="Essential Boxy Tee"/>
        <s v="Essential Silk Dress"/>
        <s v="Essential Crew Dress"/>
        <s v="Relaxed Cotton Trousers"/>
        <s v="Essential Sleeveless Dress"/>
        <s v="Tailored Wrap Tee"/>
        <s v="Tailored Linen Tee"/>
        <s v="Tailored Linen Shoes"/>
        <s v="Essential High-Waist Dress"/>
        <s v="Essential Boxy Dress"/>
        <s v="Tailored Wrap Dress"/>
        <s v="Relaxed Boxy Set"/>
        <s v="Essential Wrap Set"/>
        <s v="Relaxed Satin Trousers"/>
        <s v="Tailored Linen Dress"/>
        <s v="Relaxed Silk Trousers"/>
        <s v="Tailored Ribbed Dress"/>
        <s v="Tailored Ribbed Shoes"/>
        <s v="Tailored Ribbed Tee"/>
        <s v="Essential Linen Set"/>
        <s v="Essential Ribbed Set"/>
        <s v="Tailored Cotton Tee"/>
        <s v="Tailored Cotton Shoes"/>
        <s v="Essential Cotton Set"/>
        <s v="Essential Satin Set"/>
        <s v="Tailored Satin Tee"/>
        <s v="Tailored Silk Tee"/>
        <s v="Tailored Crew Tee"/>
        <s v="Relaxed Crew Trousers"/>
        <s v="Tailored Sleeveless Tee"/>
        <s v="Essential Silk Set"/>
        <s v="Tailored Satin Shoes"/>
        <s v="Essential Crew Set"/>
        <s v="Relaxed Sleeveless Trousers"/>
        <s v="Essential Sleeveless Set"/>
        <s v="Relaxed High-Waist Trousers"/>
        <s v="Tailored High-Waist Tee"/>
        <s v="Relaxed Boxy Trousers"/>
        <s v="Essential High-Waist Set"/>
        <s v="Essential Boxy Set"/>
        <s v="Tailored Wrap Set"/>
        <s v="Tailored Silk Shoes"/>
        <s v="Tailored Boxy Tee"/>
        <s v="Tailored Linen Set"/>
        <s v="Tailored Ribbed Set"/>
        <s v="Tailored Cotton Dress"/>
        <s v="Tailored Satin Dress"/>
        <s v="Elegant Wrap Tee"/>
        <s v="Essential Wrap Trousers"/>
        <s v="Tailored Silk Dress"/>
        <s v="Elegant Linen Tee"/>
        <s v="Tailored Crew Dress"/>
        <s v="Elegant Ribbed Tee"/>
        <s v="Elegant Cotton Tee"/>
        <s v="Essential Linen Trousers"/>
        <s v="Tailored Crew Shoes"/>
        <s v="Tailored Cotton Set"/>
        <s v="Tailored Sleeveless Shoes"/>
        <s v="Tailored Satin Set"/>
        <s v="Tailored High-Waist Shoes"/>
        <s v="Essential Ribbed Trousers"/>
        <s v="Essential Cotton Trousers"/>
        <s v="Tailored Silk Set"/>
        <s v="Elegant Satin Tee"/>
        <s v="Tailored Sleeveless Dress"/>
        <s v="Tailored Crew Set"/>
        <s v="Tailored Sleeveless Set"/>
        <s v="Essential Satin Trousers"/>
        <s v="Tailored High-Waist Dress"/>
        <s v="Tailored High-Waist Set"/>
        <s v="Tailored Boxy Dress"/>
        <s v="Tailored Boxy Set"/>
        <s v="Tailored Boxy Shoes"/>
        <s v="Elegant Wrap Dress"/>
        <s v="Elegant Wrap Shoes"/>
        <s v="Elegant Wrap Set"/>
        <s v="Elegant Silk Tee"/>
        <s v="Elegant Linen Dress"/>
        <s v="Elegant Crew Tee"/>
        <s v="Elegant Ribbed Dress"/>
        <s v="Elegant Linen Set"/>
        <s v="Elegant Linen Shoes"/>
        <s v="Essential Silk Trousers"/>
        <s v="Elegant Cotton Dress"/>
        <s v="Elegant Ribbed Set"/>
        <s v="Elegant Satin Dress"/>
        <s v="Elegant Cotton Set"/>
        <s v="Elegant Silk Dress"/>
        <s v="Essential Crew Trousers"/>
        <s v="Elegant Sleeveless Tee"/>
        <s v="Elegant High-Waist Tee"/>
        <s v="Elegant Ribbed Shoes"/>
        <s v="Elegant Satin Set"/>
        <s v="Elegant Silk Set"/>
        <s v="Elegant Cotton Shoes"/>
        <s v="Elegant Satin Shoes"/>
        <s v="Elegant Crew Set"/>
        <s v="Essential Sleeveless Trousers"/>
        <s v="Essential High-Waist Trousers"/>
        <s v="Elegant Silk Shoes"/>
        <s v="Elegant Crew Shoes"/>
        <s v="Elegant Crew Dress"/>
        <s v="Elegant Sleeveless Shoes"/>
        <s v="Elegant Sleeveless Set"/>
        <s v="Elegant High-Waist Set"/>
        <s v="Elegant Boxy Tee"/>
        <s v="Elegant Sleeveless Dress"/>
        <s v="Elegant Boxy Set"/>
        <s v="Elegant High-Waist Dress"/>
        <s v="Bold Wrap Set"/>
        <s v="Elegant High-Waist Shoes"/>
        <s v="Bold Wrap Tee"/>
        <s v="Bold Linen Set"/>
        <s v="Elegant Boxy Shoes"/>
        <s v="Bold Linen Tee"/>
        <s v="Essential Boxy Trousers"/>
        <s v="Bold Ribbed Tee"/>
        <s v="Tailored Wrap Trousers"/>
        <s v="Bold Wrap Shoes"/>
        <s v="Elegant Boxy Dress"/>
        <s v="Bold Wrap Dress"/>
        <s v="Tailored Linen Trousers"/>
        <s v="Bold Linen Shoes"/>
        <s v="Bold Linen Dress"/>
        <s v="Bold Ribbed Dress"/>
        <s v="Bold Ribbed Set"/>
        <s v="Bold Cotton Dress"/>
        <s v="Bold Cotton Set"/>
        <s v="Bold Cotton Tee"/>
        <s v="Bold Satin Dress"/>
        <s v="Bold Silk Dress"/>
        <s v="Bold Satin Set"/>
        <s v="Bold Silk Set"/>
        <s v="Bold Satin Tee"/>
        <s v="Bold Crew Dress"/>
        <s v="Bold Silk Tee"/>
        <s v="Bold Crew Set"/>
        <s v="Tailored Ribbed Trousers"/>
        <s v="Bold Sleeveless Dress"/>
        <s v="Bold Crew Tee"/>
        <s v="Bold Sleeveless Set"/>
        <s v="Bold High-Waist Dress"/>
        <s v="Bold Sleeveless Tee"/>
        <s v="Bold High-Waist Tee"/>
        <s v="Bold High-Waist Set"/>
        <s v="Bold Boxy Dress"/>
        <s v="Bold Ribbed Shoes"/>
        <s v="Bold Boxy Set"/>
        <s v="Bold Boxy Tee"/>
        <s v="Tailored Cotton Trousers"/>
        <s v="Sleepwear Drop 1"/>
        <s v="Dresses Drop 1"/>
        <s v="Sleepwear Drop 2"/>
        <s v="T-Shirts Drop 1"/>
        <s v="Tailored Satin Trousers"/>
        <s v="Dresses Drop 2"/>
        <s v="Bold Cotton Shoes"/>
        <s v="Dresses Drop 3"/>
        <s v="Bold Satin Shoes"/>
        <s v="Bold Silk Shoes"/>
        <s v="T-Shirts Drop 2"/>
        <s v="Dresses Drop 4"/>
        <s v="Dresses Drop 5"/>
        <s v="Bold Crew Shoes"/>
        <s v="Dresses Drop 6"/>
        <s v="T-Shirts Drop 3"/>
        <s v="Tailored Silk Trousers"/>
        <s v="Bold Sleeveless Shoes"/>
        <s v="T-Shirts Drop 4"/>
        <s v="Bold High-Waist Shoes"/>
        <s v="Sleepwear Drop 3"/>
        <s v="T-Shirts Drop 5"/>
        <s v="Bold Boxy Shoes"/>
        <s v="T-Shirts Drop 6"/>
        <s v="Tailored Crew Trousers"/>
        <s v="Tailored Sleeveless Trousers"/>
        <s v="T-Shirts Drop 7"/>
        <s v="Dresses Drop 7"/>
        <s v="Tailored High-Waist Trousers"/>
        <s v="Dresses Drop 8"/>
        <s v="T-Shirts Drop 8"/>
        <s v="Sleepwear Drop 4"/>
        <s v="Dresses Drop 9"/>
      </sharedItems>
    </cacheField>
    <cacheField name="Category" numFmtId="0">
      <sharedItems count="5">
        <s v="Dresses"/>
        <s v="T-Shirts"/>
        <s v="Pants"/>
        <s v="Shoes"/>
        <s v="Sleepwear"/>
      </sharedItems>
    </cacheField>
  </cacheFields>
  <extLst>
    <ext xmlns:x14="http://schemas.microsoft.com/office/spreadsheetml/2009/9/main" uri="{725AE2AE-9491-48be-B2B4-4EB974FC3084}">
      <x14:pivotCacheDefinition pivotCacheId="81528116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loma Ferrero" refreshedDate="46236.457975578705" createdVersion="7" refreshedVersion="7" minRefreshableVersion="3" recordCount="905" xr:uid="{DA9D2E24-C8ED-4354-8431-F933D130379A}">
  <cacheSource type="worksheet">
    <worksheetSource name="Tabla212"/>
  </cacheSource>
  <cacheFields count="8">
    <cacheField name="Sale ID" numFmtId="0">
      <sharedItems containsSemiMixedTypes="0" containsString="0" containsNumber="1" containsInteger="1" minValue="2" maxValue="1352"/>
    </cacheField>
    <cacheField name="Channel" numFmtId="0">
      <sharedItems count="2">
        <s v="E-commerce"/>
        <s v="App Mobile"/>
      </sharedItems>
    </cacheField>
    <cacheField name="Discount" numFmtId="0">
      <sharedItems containsSemiMixedTypes="0" containsString="0" containsNumber="1" containsInteger="1" minValue="0" maxValue="1"/>
    </cacheField>
    <cacheField name="Total amount" numFmtId="0">
      <sharedItems containsSemiMixedTypes="0" containsString="0" containsNumber="1" minValue="45.5" maxValue="859.38"/>
    </cacheField>
    <cacheField name="Sale date" numFmtId="166">
      <sharedItems containsSemiMixedTypes="0" containsNonDate="0" containsDate="1" containsString="0" minDate="2025-04-04T00:00:00" maxDate="2025-06-18T00:00:00"/>
    </cacheField>
    <cacheField name="Month" numFmtId="0">
      <sharedItems count="3">
        <s v="May"/>
        <s v="April"/>
        <s v="June"/>
      </sharedItems>
    </cacheField>
    <cacheField name="Client ID" numFmtId="0">
      <sharedItems containsSemiMixedTypes="0" containsString="0" containsNumber="1" containsInteger="1" minValue="1" maxValue="999"/>
    </cacheField>
    <cacheField name="Country" numFmtId="0">
      <sharedItems count="6">
        <s v="France"/>
        <s v="Germany"/>
        <s v="Portugal"/>
        <s v="Spain"/>
        <s v="Italy"/>
        <s v="Netherlands"/>
      </sharedItems>
    </cacheField>
  </cacheFields>
  <extLst>
    <ext xmlns:x14="http://schemas.microsoft.com/office/spreadsheetml/2009/9/main" uri="{725AE2AE-9491-48be-B2B4-4EB974FC3084}">
      <x14:pivotCacheDefinition pivotCacheId="21151333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France"/>
    <n v="1"/>
    <n v="61"/>
    <x v="0"/>
    <x v="0"/>
  </r>
  <r>
    <s v="France"/>
    <n v="2"/>
    <n v="24"/>
    <x v="1"/>
    <x v="1"/>
  </r>
  <r>
    <s v="France"/>
    <n v="3"/>
    <n v="81"/>
    <x v="2"/>
    <x v="1"/>
  </r>
  <r>
    <s v="France"/>
    <n v="4"/>
    <n v="70"/>
    <x v="3"/>
    <x v="1"/>
  </r>
  <r>
    <s v="France"/>
    <n v="5"/>
    <n v="30"/>
    <x v="4"/>
    <x v="2"/>
  </r>
  <r>
    <s v="France"/>
    <n v="6"/>
    <n v="92"/>
    <x v="5"/>
    <x v="3"/>
  </r>
  <r>
    <s v="France"/>
    <n v="7"/>
    <n v="96"/>
    <x v="6"/>
    <x v="0"/>
  </r>
  <r>
    <s v="France"/>
    <n v="8"/>
    <n v="84"/>
    <x v="7"/>
    <x v="2"/>
  </r>
  <r>
    <s v="France"/>
    <n v="9"/>
    <n v="84"/>
    <x v="8"/>
    <x v="3"/>
  </r>
  <r>
    <s v="France"/>
    <n v="10"/>
    <n v="97"/>
    <x v="9"/>
    <x v="2"/>
  </r>
  <r>
    <s v="France"/>
    <n v="11"/>
    <n v="3"/>
    <x v="10"/>
    <x v="3"/>
  </r>
  <r>
    <s v="France"/>
    <n v="12"/>
    <n v="12"/>
    <x v="11"/>
    <x v="0"/>
  </r>
  <r>
    <s v="France"/>
    <n v="13"/>
    <n v="31"/>
    <x v="12"/>
    <x v="3"/>
  </r>
  <r>
    <s v="France"/>
    <n v="14"/>
    <n v="62"/>
    <x v="13"/>
    <x v="0"/>
  </r>
  <r>
    <s v="France"/>
    <n v="15"/>
    <n v="11"/>
    <x v="14"/>
    <x v="1"/>
  </r>
  <r>
    <s v="France"/>
    <n v="16"/>
    <n v="1"/>
    <x v="15"/>
    <x v="2"/>
  </r>
  <r>
    <s v="France"/>
    <n v="17"/>
    <n v="39"/>
    <x v="16"/>
    <x v="0"/>
  </r>
  <r>
    <s v="France"/>
    <n v="18"/>
    <n v="47"/>
    <x v="17"/>
    <x v="3"/>
  </r>
  <r>
    <s v="France"/>
    <n v="19"/>
    <n v="11"/>
    <x v="18"/>
    <x v="0"/>
  </r>
  <r>
    <s v="France"/>
    <n v="20"/>
    <n v="73"/>
    <x v="19"/>
    <x v="0"/>
  </r>
  <r>
    <s v="France"/>
    <n v="21"/>
    <n v="69"/>
    <x v="20"/>
    <x v="3"/>
  </r>
  <r>
    <s v="France"/>
    <n v="22"/>
    <n v="30"/>
    <x v="21"/>
    <x v="1"/>
  </r>
  <r>
    <s v="France"/>
    <n v="23"/>
    <n v="42"/>
    <x v="22"/>
    <x v="0"/>
  </r>
  <r>
    <s v="France"/>
    <n v="24"/>
    <n v="85"/>
    <x v="23"/>
    <x v="0"/>
  </r>
  <r>
    <s v="France"/>
    <n v="25"/>
    <n v="67"/>
    <x v="24"/>
    <x v="4"/>
  </r>
  <r>
    <s v="France"/>
    <n v="26"/>
    <n v="31"/>
    <x v="25"/>
    <x v="3"/>
  </r>
  <r>
    <s v="France"/>
    <n v="27"/>
    <n v="1"/>
    <x v="26"/>
    <x v="0"/>
  </r>
  <r>
    <s v="France"/>
    <n v="28"/>
    <n v="58"/>
    <x v="27"/>
    <x v="3"/>
  </r>
  <r>
    <s v="France"/>
    <n v="29"/>
    <n v="68"/>
    <x v="28"/>
    <x v="4"/>
  </r>
  <r>
    <s v="France"/>
    <n v="30"/>
    <n v="51"/>
    <x v="29"/>
    <x v="2"/>
  </r>
  <r>
    <s v="France"/>
    <n v="31"/>
    <n v="69"/>
    <x v="30"/>
    <x v="2"/>
  </r>
  <r>
    <s v="France"/>
    <n v="32"/>
    <n v="89"/>
    <x v="31"/>
    <x v="1"/>
  </r>
  <r>
    <s v="France"/>
    <n v="33"/>
    <n v="24"/>
    <x v="32"/>
    <x v="0"/>
  </r>
  <r>
    <s v="France"/>
    <n v="34"/>
    <n v="71"/>
    <x v="33"/>
    <x v="0"/>
  </r>
  <r>
    <s v="France"/>
    <n v="35"/>
    <n v="71"/>
    <x v="34"/>
    <x v="0"/>
  </r>
  <r>
    <s v="France"/>
    <n v="36"/>
    <n v="56"/>
    <x v="35"/>
    <x v="0"/>
  </r>
  <r>
    <s v="France"/>
    <n v="37"/>
    <n v="71"/>
    <x v="36"/>
    <x v="2"/>
  </r>
  <r>
    <s v="France"/>
    <n v="38"/>
    <n v="60"/>
    <x v="37"/>
    <x v="1"/>
  </r>
  <r>
    <s v="France"/>
    <n v="39"/>
    <n v="64"/>
    <x v="38"/>
    <x v="2"/>
  </r>
  <r>
    <s v="France"/>
    <n v="40"/>
    <n v="73"/>
    <x v="39"/>
    <x v="2"/>
  </r>
  <r>
    <s v="France"/>
    <n v="41"/>
    <n v="12"/>
    <x v="40"/>
    <x v="2"/>
  </r>
  <r>
    <s v="France"/>
    <n v="42"/>
    <n v="60"/>
    <x v="41"/>
    <x v="4"/>
  </r>
  <r>
    <s v="France"/>
    <n v="43"/>
    <n v="16"/>
    <x v="42"/>
    <x v="0"/>
  </r>
  <r>
    <s v="France"/>
    <n v="44"/>
    <n v="30"/>
    <x v="43"/>
    <x v="2"/>
  </r>
  <r>
    <s v="France"/>
    <n v="45"/>
    <n v="82"/>
    <x v="44"/>
    <x v="1"/>
  </r>
  <r>
    <s v="France"/>
    <n v="46"/>
    <n v="48"/>
    <x v="45"/>
    <x v="4"/>
  </r>
  <r>
    <s v="France"/>
    <n v="47"/>
    <n v="27"/>
    <x v="46"/>
    <x v="1"/>
  </r>
  <r>
    <s v="France"/>
    <n v="48"/>
    <n v="13"/>
    <x v="47"/>
    <x v="3"/>
  </r>
  <r>
    <s v="France"/>
    <n v="49"/>
    <n v="1"/>
    <x v="48"/>
    <x v="1"/>
  </r>
  <r>
    <s v="France"/>
    <n v="50"/>
    <n v="69"/>
    <x v="49"/>
    <x v="1"/>
  </r>
  <r>
    <s v="France"/>
    <n v="51"/>
    <n v="23"/>
    <x v="50"/>
    <x v="4"/>
  </r>
  <r>
    <s v="France"/>
    <n v="52"/>
    <n v="18"/>
    <x v="51"/>
    <x v="1"/>
  </r>
  <r>
    <s v="France"/>
    <n v="53"/>
    <n v="99"/>
    <x v="52"/>
    <x v="3"/>
  </r>
  <r>
    <s v="France"/>
    <n v="54"/>
    <n v="62"/>
    <x v="53"/>
    <x v="0"/>
  </r>
  <r>
    <s v="France"/>
    <n v="55"/>
    <n v="11"/>
    <x v="54"/>
    <x v="1"/>
  </r>
  <r>
    <s v="France"/>
    <n v="56"/>
    <n v="93"/>
    <x v="55"/>
    <x v="3"/>
  </r>
  <r>
    <s v="France"/>
    <n v="57"/>
    <n v="69"/>
    <x v="56"/>
    <x v="0"/>
  </r>
  <r>
    <s v="France"/>
    <n v="58"/>
    <n v="80"/>
    <x v="57"/>
    <x v="0"/>
  </r>
  <r>
    <s v="France"/>
    <n v="59"/>
    <n v="53"/>
    <x v="58"/>
    <x v="4"/>
  </r>
  <r>
    <s v="France"/>
    <n v="60"/>
    <n v="5"/>
    <x v="59"/>
    <x v="1"/>
  </r>
  <r>
    <s v="France"/>
    <n v="61"/>
    <n v="56"/>
    <x v="60"/>
    <x v="1"/>
  </r>
  <r>
    <s v="France"/>
    <n v="62"/>
    <n v="44"/>
    <x v="61"/>
    <x v="2"/>
  </r>
  <r>
    <s v="France"/>
    <n v="63"/>
    <n v="87"/>
    <x v="62"/>
    <x v="4"/>
  </r>
  <r>
    <s v="France"/>
    <n v="64"/>
    <n v="90"/>
    <x v="63"/>
    <x v="4"/>
  </r>
  <r>
    <s v="France"/>
    <n v="65"/>
    <n v="45"/>
    <x v="64"/>
    <x v="1"/>
  </r>
  <r>
    <s v="France"/>
    <n v="66"/>
    <n v="59"/>
    <x v="65"/>
    <x v="0"/>
  </r>
  <r>
    <s v="France"/>
    <n v="67"/>
    <n v="13"/>
    <x v="66"/>
    <x v="1"/>
  </r>
  <r>
    <s v="France"/>
    <n v="68"/>
    <n v="11"/>
    <x v="67"/>
    <x v="4"/>
  </r>
  <r>
    <s v="France"/>
    <n v="69"/>
    <n v="15"/>
    <x v="68"/>
    <x v="3"/>
  </r>
  <r>
    <s v="France"/>
    <n v="70"/>
    <n v="63"/>
    <x v="69"/>
    <x v="0"/>
  </r>
  <r>
    <s v="France"/>
    <n v="71"/>
    <n v="3"/>
    <x v="70"/>
    <x v="2"/>
  </r>
  <r>
    <s v="France"/>
    <n v="72"/>
    <n v="63"/>
    <x v="71"/>
    <x v="0"/>
  </r>
  <r>
    <s v="France"/>
    <n v="73"/>
    <n v="72"/>
    <x v="72"/>
    <x v="4"/>
  </r>
  <r>
    <s v="France"/>
    <n v="74"/>
    <n v="27"/>
    <x v="73"/>
    <x v="4"/>
  </r>
  <r>
    <s v="France"/>
    <n v="75"/>
    <n v="99"/>
    <x v="74"/>
    <x v="4"/>
  </r>
  <r>
    <s v="France"/>
    <n v="76"/>
    <n v="53"/>
    <x v="75"/>
    <x v="2"/>
  </r>
  <r>
    <s v="France"/>
    <n v="77"/>
    <n v="43"/>
    <x v="76"/>
    <x v="0"/>
  </r>
  <r>
    <s v="France"/>
    <n v="78"/>
    <n v="83"/>
    <x v="77"/>
    <x v="3"/>
  </r>
  <r>
    <s v="France"/>
    <n v="79"/>
    <n v="71"/>
    <x v="78"/>
    <x v="2"/>
  </r>
  <r>
    <s v="France"/>
    <n v="80"/>
    <n v="23"/>
    <x v="79"/>
    <x v="0"/>
  </r>
  <r>
    <s v="France"/>
    <n v="81"/>
    <n v="57"/>
    <x v="80"/>
    <x v="4"/>
  </r>
  <r>
    <s v="France"/>
    <n v="82"/>
    <n v="24"/>
    <x v="81"/>
    <x v="0"/>
  </r>
  <r>
    <s v="France"/>
    <n v="83"/>
    <n v="81"/>
    <x v="82"/>
    <x v="1"/>
  </r>
  <r>
    <s v="France"/>
    <n v="84"/>
    <n v="87"/>
    <x v="83"/>
    <x v="3"/>
  </r>
  <r>
    <s v="France"/>
    <n v="85"/>
    <n v="96"/>
    <x v="84"/>
    <x v="0"/>
  </r>
  <r>
    <s v="France"/>
    <n v="86"/>
    <n v="71"/>
    <x v="85"/>
    <x v="4"/>
  </r>
  <r>
    <s v="France"/>
    <n v="87"/>
    <n v="49"/>
    <x v="86"/>
    <x v="0"/>
  </r>
  <r>
    <s v="France"/>
    <n v="88"/>
    <n v="94"/>
    <x v="87"/>
    <x v="4"/>
  </r>
  <r>
    <s v="France"/>
    <n v="89"/>
    <n v="89"/>
    <x v="88"/>
    <x v="3"/>
  </r>
  <r>
    <s v="France"/>
    <n v="90"/>
    <n v="91"/>
    <x v="89"/>
    <x v="3"/>
  </r>
  <r>
    <s v="France"/>
    <n v="91"/>
    <n v="62"/>
    <x v="90"/>
    <x v="4"/>
  </r>
  <r>
    <s v="France"/>
    <n v="92"/>
    <n v="33"/>
    <x v="91"/>
    <x v="3"/>
  </r>
  <r>
    <s v="France"/>
    <n v="93"/>
    <n v="35"/>
    <x v="92"/>
    <x v="2"/>
  </r>
  <r>
    <s v="France"/>
    <n v="94"/>
    <n v="98"/>
    <x v="93"/>
    <x v="3"/>
  </r>
  <r>
    <s v="France"/>
    <n v="95"/>
    <n v="69"/>
    <x v="94"/>
    <x v="4"/>
  </r>
  <r>
    <s v="France"/>
    <n v="96"/>
    <n v="50"/>
    <x v="95"/>
    <x v="1"/>
  </r>
  <r>
    <s v="France"/>
    <n v="97"/>
    <n v="3"/>
    <x v="96"/>
    <x v="3"/>
  </r>
  <r>
    <s v="France"/>
    <n v="98"/>
    <n v="24"/>
    <x v="97"/>
    <x v="3"/>
  </r>
  <r>
    <s v="France"/>
    <n v="99"/>
    <n v="54"/>
    <x v="98"/>
    <x v="1"/>
  </r>
  <r>
    <s v="France"/>
    <n v="100"/>
    <n v="74"/>
    <x v="99"/>
    <x v="0"/>
  </r>
  <r>
    <s v="France"/>
    <n v="101"/>
    <n v="98"/>
    <x v="100"/>
    <x v="1"/>
  </r>
  <r>
    <s v="France"/>
    <n v="102"/>
    <n v="80"/>
    <x v="101"/>
    <x v="1"/>
  </r>
  <r>
    <s v="France"/>
    <n v="103"/>
    <n v="18"/>
    <x v="102"/>
    <x v="1"/>
  </r>
  <r>
    <s v="France"/>
    <n v="104"/>
    <n v="97"/>
    <x v="103"/>
    <x v="3"/>
  </r>
  <r>
    <s v="France"/>
    <n v="105"/>
    <n v="10"/>
    <x v="104"/>
    <x v="1"/>
  </r>
  <r>
    <s v="France"/>
    <n v="106"/>
    <n v="17"/>
    <x v="105"/>
    <x v="1"/>
  </r>
  <r>
    <s v="France"/>
    <n v="107"/>
    <n v="97"/>
    <x v="106"/>
    <x v="3"/>
  </r>
  <r>
    <s v="France"/>
    <n v="108"/>
    <n v="72"/>
    <x v="107"/>
    <x v="2"/>
  </r>
  <r>
    <s v="France"/>
    <n v="109"/>
    <n v="20"/>
    <x v="108"/>
    <x v="0"/>
  </r>
  <r>
    <s v="France"/>
    <n v="110"/>
    <n v="90"/>
    <x v="109"/>
    <x v="0"/>
  </r>
  <r>
    <s v="France"/>
    <n v="111"/>
    <n v="17"/>
    <x v="110"/>
    <x v="2"/>
  </r>
  <r>
    <s v="France"/>
    <n v="112"/>
    <n v="44"/>
    <x v="111"/>
    <x v="4"/>
  </r>
  <r>
    <s v="France"/>
    <n v="113"/>
    <n v="44"/>
    <x v="112"/>
    <x v="0"/>
  </r>
  <r>
    <s v="France"/>
    <n v="114"/>
    <n v="42"/>
    <x v="113"/>
    <x v="3"/>
  </r>
  <r>
    <s v="France"/>
    <n v="115"/>
    <n v="14"/>
    <x v="114"/>
    <x v="4"/>
  </r>
  <r>
    <s v="France"/>
    <n v="116"/>
    <n v="50"/>
    <x v="115"/>
    <x v="2"/>
  </r>
  <r>
    <s v="France"/>
    <n v="117"/>
    <n v="37"/>
    <x v="116"/>
    <x v="0"/>
  </r>
  <r>
    <s v="France"/>
    <n v="118"/>
    <n v="16"/>
    <x v="117"/>
    <x v="1"/>
  </r>
  <r>
    <s v="France"/>
    <n v="119"/>
    <n v="82"/>
    <x v="118"/>
    <x v="0"/>
  </r>
  <r>
    <s v="France"/>
    <n v="120"/>
    <n v="81"/>
    <x v="119"/>
    <x v="4"/>
  </r>
  <r>
    <s v="France"/>
    <n v="121"/>
    <n v="21"/>
    <x v="120"/>
    <x v="3"/>
  </r>
  <r>
    <s v="France"/>
    <n v="122"/>
    <n v="43"/>
    <x v="121"/>
    <x v="2"/>
  </r>
  <r>
    <s v="France"/>
    <n v="123"/>
    <n v="42"/>
    <x v="122"/>
    <x v="4"/>
  </r>
  <r>
    <s v="France"/>
    <n v="124"/>
    <n v="57"/>
    <x v="123"/>
    <x v="4"/>
  </r>
  <r>
    <s v="France"/>
    <n v="125"/>
    <n v="32"/>
    <x v="124"/>
    <x v="3"/>
  </r>
  <r>
    <s v="France"/>
    <n v="126"/>
    <n v="71"/>
    <x v="125"/>
    <x v="3"/>
  </r>
  <r>
    <s v="France"/>
    <n v="127"/>
    <n v="97"/>
    <x v="126"/>
    <x v="2"/>
  </r>
  <r>
    <s v="France"/>
    <n v="128"/>
    <n v="3"/>
    <x v="127"/>
    <x v="1"/>
  </r>
  <r>
    <s v="France"/>
    <n v="129"/>
    <n v="53"/>
    <x v="128"/>
    <x v="2"/>
  </r>
  <r>
    <s v="France"/>
    <n v="130"/>
    <n v="95"/>
    <x v="129"/>
    <x v="4"/>
  </r>
  <r>
    <s v="France"/>
    <n v="131"/>
    <n v="44"/>
    <x v="130"/>
    <x v="4"/>
  </r>
  <r>
    <s v="France"/>
    <n v="132"/>
    <n v="74"/>
    <x v="131"/>
    <x v="3"/>
  </r>
  <r>
    <s v="France"/>
    <n v="133"/>
    <n v="56"/>
    <x v="132"/>
    <x v="1"/>
  </r>
  <r>
    <s v="France"/>
    <n v="134"/>
    <n v="87"/>
    <x v="133"/>
    <x v="2"/>
  </r>
  <r>
    <s v="France"/>
    <n v="135"/>
    <n v="3"/>
    <x v="134"/>
    <x v="3"/>
  </r>
  <r>
    <s v="France"/>
    <n v="136"/>
    <n v="10"/>
    <x v="135"/>
    <x v="2"/>
  </r>
  <r>
    <s v="France"/>
    <n v="137"/>
    <n v="1"/>
    <x v="136"/>
    <x v="2"/>
  </r>
  <r>
    <s v="France"/>
    <n v="138"/>
    <n v="99"/>
    <x v="137"/>
    <x v="3"/>
  </r>
  <r>
    <s v="France"/>
    <n v="139"/>
    <n v="23"/>
    <x v="138"/>
    <x v="1"/>
  </r>
  <r>
    <s v="France"/>
    <n v="140"/>
    <n v="5"/>
    <x v="139"/>
    <x v="0"/>
  </r>
  <r>
    <s v="France"/>
    <n v="141"/>
    <n v="18"/>
    <x v="140"/>
    <x v="0"/>
  </r>
  <r>
    <s v="France"/>
    <n v="142"/>
    <n v="88"/>
    <x v="141"/>
    <x v="0"/>
  </r>
  <r>
    <s v="France"/>
    <n v="143"/>
    <n v="24"/>
    <x v="142"/>
    <x v="4"/>
  </r>
  <r>
    <s v="France"/>
    <n v="144"/>
    <n v="99"/>
    <x v="143"/>
    <x v="2"/>
  </r>
  <r>
    <s v="France"/>
    <n v="145"/>
    <n v="51"/>
    <x v="144"/>
    <x v="3"/>
  </r>
  <r>
    <s v="France"/>
    <n v="146"/>
    <n v="86"/>
    <x v="145"/>
    <x v="3"/>
  </r>
  <r>
    <s v="France"/>
    <n v="147"/>
    <n v="60"/>
    <x v="146"/>
    <x v="3"/>
  </r>
  <r>
    <s v="France"/>
    <n v="148"/>
    <n v="72"/>
    <x v="147"/>
    <x v="1"/>
  </r>
  <r>
    <s v="France"/>
    <n v="149"/>
    <n v="61"/>
    <x v="148"/>
    <x v="2"/>
  </r>
  <r>
    <s v="France"/>
    <n v="150"/>
    <n v="5"/>
    <x v="149"/>
    <x v="1"/>
  </r>
  <r>
    <s v="France"/>
    <n v="151"/>
    <n v="32"/>
    <x v="150"/>
    <x v="2"/>
  </r>
  <r>
    <s v="France"/>
    <n v="152"/>
    <n v="24"/>
    <x v="151"/>
    <x v="4"/>
  </r>
  <r>
    <s v="France"/>
    <n v="153"/>
    <n v="52"/>
    <x v="152"/>
    <x v="3"/>
  </r>
  <r>
    <s v="France"/>
    <n v="154"/>
    <n v="38"/>
    <x v="153"/>
    <x v="4"/>
  </r>
  <r>
    <s v="France"/>
    <n v="155"/>
    <n v="45"/>
    <x v="154"/>
    <x v="0"/>
  </r>
  <r>
    <s v="France"/>
    <n v="156"/>
    <n v="22"/>
    <x v="155"/>
    <x v="0"/>
  </r>
  <r>
    <s v="France"/>
    <n v="157"/>
    <n v="1"/>
    <x v="156"/>
    <x v="4"/>
  </r>
  <r>
    <s v="France"/>
    <n v="158"/>
    <n v="80"/>
    <x v="157"/>
    <x v="0"/>
  </r>
  <r>
    <s v="France"/>
    <n v="159"/>
    <n v="68"/>
    <x v="158"/>
    <x v="2"/>
  </r>
  <r>
    <s v="France"/>
    <n v="160"/>
    <n v="95"/>
    <x v="159"/>
    <x v="4"/>
  </r>
  <r>
    <s v="France"/>
    <n v="161"/>
    <n v="37"/>
    <x v="160"/>
    <x v="1"/>
  </r>
  <r>
    <s v="France"/>
    <n v="162"/>
    <n v="75"/>
    <x v="161"/>
    <x v="4"/>
  </r>
  <r>
    <s v="France"/>
    <n v="163"/>
    <n v="51"/>
    <x v="162"/>
    <x v="4"/>
  </r>
  <r>
    <s v="France"/>
    <n v="164"/>
    <n v="54"/>
    <x v="163"/>
    <x v="0"/>
  </r>
  <r>
    <s v="France"/>
    <n v="165"/>
    <n v="71"/>
    <x v="164"/>
    <x v="3"/>
  </r>
  <r>
    <s v="France"/>
    <n v="166"/>
    <n v="66"/>
    <x v="165"/>
    <x v="3"/>
  </r>
  <r>
    <s v="France"/>
    <n v="167"/>
    <n v="15"/>
    <x v="166"/>
    <x v="3"/>
  </r>
  <r>
    <s v="France"/>
    <n v="168"/>
    <n v="37"/>
    <x v="167"/>
    <x v="1"/>
  </r>
  <r>
    <s v="France"/>
    <n v="169"/>
    <n v="37"/>
    <x v="168"/>
    <x v="4"/>
  </r>
  <r>
    <s v="France"/>
    <n v="170"/>
    <n v="53"/>
    <x v="169"/>
    <x v="0"/>
  </r>
  <r>
    <s v="France"/>
    <n v="171"/>
    <n v="3"/>
    <x v="170"/>
    <x v="0"/>
  </r>
  <r>
    <s v="France"/>
    <n v="172"/>
    <n v="39"/>
    <x v="171"/>
    <x v="3"/>
  </r>
  <r>
    <s v="France"/>
    <n v="173"/>
    <n v="71"/>
    <x v="172"/>
    <x v="0"/>
  </r>
  <r>
    <s v="France"/>
    <n v="174"/>
    <n v="84"/>
    <x v="173"/>
    <x v="4"/>
  </r>
  <r>
    <s v="France"/>
    <n v="175"/>
    <n v="1"/>
    <x v="174"/>
    <x v="1"/>
  </r>
  <r>
    <s v="France"/>
    <n v="176"/>
    <n v="2"/>
    <x v="175"/>
    <x v="0"/>
  </r>
  <r>
    <s v="France"/>
    <n v="177"/>
    <n v="10"/>
    <x v="176"/>
    <x v="4"/>
  </r>
  <r>
    <s v="France"/>
    <n v="178"/>
    <n v="36"/>
    <x v="177"/>
    <x v="2"/>
  </r>
  <r>
    <s v="France"/>
    <n v="179"/>
    <n v="71"/>
    <x v="178"/>
    <x v="1"/>
  </r>
  <r>
    <s v="France"/>
    <n v="180"/>
    <n v="3"/>
    <x v="179"/>
    <x v="3"/>
  </r>
  <r>
    <s v="France"/>
    <n v="181"/>
    <n v="12"/>
    <x v="180"/>
    <x v="3"/>
  </r>
  <r>
    <s v="France"/>
    <n v="182"/>
    <n v="79"/>
    <x v="181"/>
    <x v="4"/>
  </r>
  <r>
    <s v="France"/>
    <n v="183"/>
    <n v="81"/>
    <x v="182"/>
    <x v="4"/>
  </r>
  <r>
    <s v="France"/>
    <n v="184"/>
    <n v="36"/>
    <x v="183"/>
    <x v="2"/>
  </r>
  <r>
    <s v="France"/>
    <n v="185"/>
    <n v="18"/>
    <x v="184"/>
    <x v="2"/>
  </r>
  <r>
    <s v="France"/>
    <n v="186"/>
    <n v="71"/>
    <x v="185"/>
    <x v="3"/>
  </r>
  <r>
    <s v="France"/>
    <n v="187"/>
    <n v="46"/>
    <x v="186"/>
    <x v="2"/>
  </r>
  <r>
    <s v="France"/>
    <n v="188"/>
    <n v="60"/>
    <x v="187"/>
    <x v="3"/>
  </r>
  <r>
    <s v="France"/>
    <n v="189"/>
    <n v="53"/>
    <x v="188"/>
    <x v="4"/>
  </r>
  <r>
    <s v="France"/>
    <n v="190"/>
    <n v="33"/>
    <x v="189"/>
    <x v="0"/>
  </r>
  <r>
    <s v="France"/>
    <n v="191"/>
    <n v="88"/>
    <x v="190"/>
    <x v="0"/>
  </r>
  <r>
    <s v="France"/>
    <n v="192"/>
    <n v="68"/>
    <x v="191"/>
    <x v="0"/>
  </r>
  <r>
    <s v="France"/>
    <n v="193"/>
    <n v="41"/>
    <x v="192"/>
    <x v="1"/>
  </r>
  <r>
    <s v="France"/>
    <n v="194"/>
    <n v="97"/>
    <x v="193"/>
    <x v="4"/>
  </r>
  <r>
    <s v="France"/>
    <n v="195"/>
    <n v="2"/>
    <x v="194"/>
    <x v="1"/>
  </r>
  <r>
    <s v="France"/>
    <n v="196"/>
    <n v="71"/>
    <x v="195"/>
    <x v="2"/>
  </r>
  <r>
    <s v="France"/>
    <n v="197"/>
    <n v="67"/>
    <x v="196"/>
    <x v="3"/>
  </r>
  <r>
    <s v="France"/>
    <n v="198"/>
    <n v="61"/>
    <x v="197"/>
    <x v="0"/>
  </r>
  <r>
    <s v="France"/>
    <n v="199"/>
    <n v="4"/>
    <x v="198"/>
    <x v="0"/>
  </r>
  <r>
    <s v="France"/>
    <n v="200"/>
    <n v="48"/>
    <x v="199"/>
    <x v="4"/>
  </r>
  <r>
    <s v="France"/>
    <n v="201"/>
    <n v="11"/>
    <x v="200"/>
    <x v="1"/>
  </r>
  <r>
    <s v="France"/>
    <n v="202"/>
    <n v="12"/>
    <x v="201"/>
    <x v="1"/>
  </r>
  <r>
    <s v="France"/>
    <n v="203"/>
    <n v="65"/>
    <x v="202"/>
    <x v="0"/>
  </r>
  <r>
    <s v="France"/>
    <n v="204"/>
    <n v="5"/>
    <x v="203"/>
    <x v="0"/>
  </r>
  <r>
    <s v="France"/>
    <n v="205"/>
    <n v="68"/>
    <x v="204"/>
    <x v="2"/>
  </r>
  <r>
    <s v="France"/>
    <n v="206"/>
    <n v="11"/>
    <x v="205"/>
    <x v="2"/>
  </r>
  <r>
    <s v="France"/>
    <n v="207"/>
    <n v="11"/>
    <x v="206"/>
    <x v="1"/>
  </r>
  <r>
    <s v="France"/>
    <n v="208"/>
    <n v="5"/>
    <x v="207"/>
    <x v="1"/>
  </r>
  <r>
    <s v="France"/>
    <n v="209"/>
    <n v="96"/>
    <x v="208"/>
    <x v="3"/>
  </r>
  <r>
    <s v="France"/>
    <n v="210"/>
    <n v="3"/>
    <x v="209"/>
    <x v="4"/>
  </r>
  <r>
    <s v="France"/>
    <n v="211"/>
    <n v="28"/>
    <x v="210"/>
    <x v="3"/>
  </r>
  <r>
    <s v="France"/>
    <n v="212"/>
    <n v="11"/>
    <x v="211"/>
    <x v="1"/>
  </r>
  <r>
    <s v="France"/>
    <n v="213"/>
    <n v="62"/>
    <x v="212"/>
    <x v="1"/>
  </r>
  <r>
    <s v="France"/>
    <n v="214"/>
    <n v="53"/>
    <x v="213"/>
    <x v="2"/>
  </r>
  <r>
    <s v="France"/>
    <n v="215"/>
    <n v="99"/>
    <x v="214"/>
    <x v="2"/>
  </r>
  <r>
    <s v="France"/>
    <n v="216"/>
    <n v="41"/>
    <x v="215"/>
    <x v="3"/>
  </r>
  <r>
    <s v="France"/>
    <n v="217"/>
    <n v="79"/>
    <x v="216"/>
    <x v="1"/>
  </r>
  <r>
    <s v="France"/>
    <n v="218"/>
    <n v="41"/>
    <x v="217"/>
    <x v="1"/>
  </r>
  <r>
    <s v="France"/>
    <n v="219"/>
    <n v="2"/>
    <x v="218"/>
    <x v="3"/>
  </r>
  <r>
    <s v="France"/>
    <n v="220"/>
    <n v="64"/>
    <x v="219"/>
    <x v="4"/>
  </r>
  <r>
    <s v="France"/>
    <n v="221"/>
    <n v="84"/>
    <x v="220"/>
    <x v="1"/>
  </r>
  <r>
    <s v="France"/>
    <n v="222"/>
    <n v="65"/>
    <x v="221"/>
    <x v="0"/>
  </r>
  <r>
    <s v="France"/>
    <n v="223"/>
    <n v="26"/>
    <x v="222"/>
    <x v="2"/>
  </r>
  <r>
    <s v="France"/>
    <n v="224"/>
    <n v="47"/>
    <x v="223"/>
    <x v="0"/>
  </r>
  <r>
    <s v="France"/>
    <n v="225"/>
    <n v="33"/>
    <x v="224"/>
    <x v="3"/>
  </r>
  <r>
    <s v="France"/>
    <n v="226"/>
    <n v="78"/>
    <x v="225"/>
    <x v="4"/>
  </r>
  <r>
    <s v="France"/>
    <n v="227"/>
    <n v="79"/>
    <x v="226"/>
    <x v="1"/>
  </r>
  <r>
    <s v="France"/>
    <n v="228"/>
    <n v="95"/>
    <x v="227"/>
    <x v="2"/>
  </r>
  <r>
    <s v="France"/>
    <n v="229"/>
    <n v="20"/>
    <x v="228"/>
    <x v="3"/>
  </r>
  <r>
    <s v="France"/>
    <n v="230"/>
    <n v="25"/>
    <x v="229"/>
    <x v="4"/>
  </r>
  <r>
    <s v="France"/>
    <n v="231"/>
    <n v="3"/>
    <x v="230"/>
    <x v="3"/>
  </r>
  <r>
    <s v="France"/>
    <n v="232"/>
    <n v="68"/>
    <x v="231"/>
    <x v="3"/>
  </r>
  <r>
    <s v="France"/>
    <n v="233"/>
    <n v="79"/>
    <x v="232"/>
    <x v="3"/>
  </r>
  <r>
    <s v="France"/>
    <n v="234"/>
    <n v="5"/>
    <x v="233"/>
    <x v="1"/>
  </r>
  <r>
    <s v="France"/>
    <n v="235"/>
    <n v="12"/>
    <x v="234"/>
    <x v="4"/>
  </r>
  <r>
    <s v="France"/>
    <n v="236"/>
    <n v="29"/>
    <x v="235"/>
    <x v="3"/>
  </r>
  <r>
    <s v="France"/>
    <n v="237"/>
    <n v="68"/>
    <x v="236"/>
    <x v="0"/>
  </r>
  <r>
    <s v="France"/>
    <n v="238"/>
    <n v="45"/>
    <x v="237"/>
    <x v="1"/>
  </r>
  <r>
    <s v="France"/>
    <n v="239"/>
    <n v="28"/>
    <x v="238"/>
    <x v="2"/>
  </r>
  <r>
    <s v="France"/>
    <n v="240"/>
    <n v="99"/>
    <x v="239"/>
    <x v="2"/>
  </r>
  <r>
    <s v="France"/>
    <n v="241"/>
    <n v="76"/>
    <x v="240"/>
    <x v="2"/>
  </r>
  <r>
    <s v="France"/>
    <n v="242"/>
    <n v="28"/>
    <x v="241"/>
    <x v="3"/>
  </r>
  <r>
    <s v="France"/>
    <n v="243"/>
    <n v="3"/>
    <x v="242"/>
    <x v="4"/>
  </r>
  <r>
    <s v="France"/>
    <n v="244"/>
    <n v="80"/>
    <x v="243"/>
    <x v="3"/>
  </r>
  <r>
    <s v="France"/>
    <n v="245"/>
    <n v="4"/>
    <x v="244"/>
    <x v="0"/>
  </r>
  <r>
    <s v="France"/>
    <n v="246"/>
    <n v="42"/>
    <x v="245"/>
    <x v="0"/>
  </r>
  <r>
    <s v="France"/>
    <n v="247"/>
    <n v="49"/>
    <x v="246"/>
    <x v="2"/>
  </r>
  <r>
    <s v="France"/>
    <n v="248"/>
    <n v="48"/>
    <x v="247"/>
    <x v="1"/>
  </r>
  <r>
    <s v="France"/>
    <n v="249"/>
    <n v="91"/>
    <x v="248"/>
    <x v="4"/>
  </r>
  <r>
    <s v="France"/>
    <n v="250"/>
    <n v="10"/>
    <x v="249"/>
    <x v="3"/>
  </r>
  <r>
    <s v="France"/>
    <n v="251"/>
    <n v="20"/>
    <x v="250"/>
    <x v="1"/>
  </r>
  <r>
    <s v="France"/>
    <n v="252"/>
    <n v="66"/>
    <x v="251"/>
    <x v="1"/>
  </r>
  <r>
    <s v="France"/>
    <n v="253"/>
    <n v="98"/>
    <x v="252"/>
    <x v="1"/>
  </r>
  <r>
    <s v="France"/>
    <n v="254"/>
    <n v="59"/>
    <x v="253"/>
    <x v="3"/>
  </r>
  <r>
    <s v="France"/>
    <n v="255"/>
    <n v="1"/>
    <x v="254"/>
    <x v="2"/>
  </r>
  <r>
    <s v="France"/>
    <n v="256"/>
    <n v="40"/>
    <x v="255"/>
    <x v="4"/>
  </r>
  <r>
    <s v="France"/>
    <n v="257"/>
    <n v="51"/>
    <x v="256"/>
    <x v="3"/>
  </r>
  <r>
    <s v="France"/>
    <n v="258"/>
    <n v="16"/>
    <x v="257"/>
    <x v="3"/>
  </r>
  <r>
    <s v="France"/>
    <n v="259"/>
    <n v="25"/>
    <x v="258"/>
    <x v="2"/>
  </r>
  <r>
    <s v="France"/>
    <n v="260"/>
    <n v="99"/>
    <x v="259"/>
    <x v="0"/>
  </r>
  <r>
    <s v="France"/>
    <n v="261"/>
    <n v="69"/>
    <x v="260"/>
    <x v="1"/>
  </r>
  <r>
    <s v="France"/>
    <n v="262"/>
    <n v="11"/>
    <x v="261"/>
    <x v="4"/>
  </r>
  <r>
    <s v="France"/>
    <n v="263"/>
    <n v="10"/>
    <x v="262"/>
    <x v="3"/>
  </r>
  <r>
    <s v="France"/>
    <n v="264"/>
    <n v="57"/>
    <x v="263"/>
    <x v="1"/>
  </r>
  <r>
    <s v="France"/>
    <n v="265"/>
    <n v="21"/>
    <x v="264"/>
    <x v="3"/>
  </r>
  <r>
    <s v="France"/>
    <n v="266"/>
    <n v="78"/>
    <x v="265"/>
    <x v="2"/>
  </r>
  <r>
    <s v="France"/>
    <n v="267"/>
    <n v="46"/>
    <x v="266"/>
    <x v="4"/>
  </r>
  <r>
    <s v="France"/>
    <n v="268"/>
    <n v="41"/>
    <x v="267"/>
    <x v="4"/>
  </r>
  <r>
    <s v="France"/>
    <n v="269"/>
    <n v="18"/>
    <x v="268"/>
    <x v="0"/>
  </r>
  <r>
    <s v="France"/>
    <n v="270"/>
    <n v="28"/>
    <x v="269"/>
    <x v="1"/>
  </r>
  <r>
    <s v="France"/>
    <n v="271"/>
    <n v="57"/>
    <x v="270"/>
    <x v="3"/>
  </r>
  <r>
    <s v="France"/>
    <n v="272"/>
    <n v="89"/>
    <x v="271"/>
    <x v="3"/>
  </r>
  <r>
    <s v="France"/>
    <n v="273"/>
    <n v="12"/>
    <x v="272"/>
    <x v="1"/>
  </r>
  <r>
    <s v="France"/>
    <n v="274"/>
    <n v="29"/>
    <x v="273"/>
    <x v="4"/>
  </r>
  <r>
    <s v="France"/>
    <n v="275"/>
    <n v="33"/>
    <x v="274"/>
    <x v="1"/>
  </r>
  <r>
    <s v="France"/>
    <n v="276"/>
    <n v="63"/>
    <x v="275"/>
    <x v="1"/>
  </r>
  <r>
    <s v="France"/>
    <n v="277"/>
    <n v="42"/>
    <x v="276"/>
    <x v="1"/>
  </r>
  <r>
    <s v="France"/>
    <n v="278"/>
    <n v="33"/>
    <x v="277"/>
    <x v="1"/>
  </r>
  <r>
    <s v="France"/>
    <n v="279"/>
    <n v="84"/>
    <x v="278"/>
    <x v="4"/>
  </r>
  <r>
    <s v="France"/>
    <n v="280"/>
    <n v="1"/>
    <x v="279"/>
    <x v="1"/>
  </r>
  <r>
    <s v="France"/>
    <n v="281"/>
    <n v="45"/>
    <x v="280"/>
    <x v="2"/>
  </r>
  <r>
    <s v="France"/>
    <n v="282"/>
    <n v="47"/>
    <x v="281"/>
    <x v="2"/>
  </r>
  <r>
    <s v="France"/>
    <n v="283"/>
    <n v="93"/>
    <x v="282"/>
    <x v="3"/>
  </r>
  <r>
    <s v="France"/>
    <n v="284"/>
    <n v="98"/>
    <x v="283"/>
    <x v="3"/>
  </r>
  <r>
    <s v="France"/>
    <n v="285"/>
    <n v="34"/>
    <x v="284"/>
    <x v="0"/>
  </r>
  <r>
    <s v="France"/>
    <n v="286"/>
    <n v="27"/>
    <x v="285"/>
    <x v="3"/>
  </r>
  <r>
    <s v="France"/>
    <n v="287"/>
    <n v="91"/>
    <x v="286"/>
    <x v="4"/>
  </r>
  <r>
    <s v="France"/>
    <n v="288"/>
    <n v="75"/>
    <x v="287"/>
    <x v="1"/>
  </r>
  <r>
    <s v="France"/>
    <n v="289"/>
    <n v="63"/>
    <x v="288"/>
    <x v="0"/>
  </r>
  <r>
    <s v="France"/>
    <n v="290"/>
    <n v="4"/>
    <x v="289"/>
    <x v="4"/>
  </r>
  <r>
    <s v="France"/>
    <n v="291"/>
    <n v="89"/>
    <x v="290"/>
    <x v="3"/>
  </r>
  <r>
    <s v="France"/>
    <n v="292"/>
    <n v="70"/>
    <x v="291"/>
    <x v="1"/>
  </r>
  <r>
    <s v="France"/>
    <n v="293"/>
    <n v="1"/>
    <x v="292"/>
    <x v="3"/>
  </r>
  <r>
    <s v="France"/>
    <n v="294"/>
    <n v="42"/>
    <x v="293"/>
    <x v="3"/>
  </r>
  <r>
    <s v="France"/>
    <n v="295"/>
    <n v="77"/>
    <x v="294"/>
    <x v="2"/>
  </r>
  <r>
    <s v="France"/>
    <n v="296"/>
    <n v="42"/>
    <x v="295"/>
    <x v="0"/>
  </r>
  <r>
    <s v="France"/>
    <n v="297"/>
    <n v="23"/>
    <x v="296"/>
    <x v="3"/>
  </r>
  <r>
    <s v="France"/>
    <n v="298"/>
    <n v="30"/>
    <x v="297"/>
    <x v="3"/>
  </r>
  <r>
    <s v="France"/>
    <n v="299"/>
    <n v="57"/>
    <x v="298"/>
    <x v="0"/>
  </r>
  <r>
    <s v="France"/>
    <n v="300"/>
    <n v="29"/>
    <x v="299"/>
    <x v="3"/>
  </r>
  <r>
    <s v="France"/>
    <n v="301"/>
    <n v="17"/>
    <x v="300"/>
    <x v="0"/>
  </r>
  <r>
    <s v="France"/>
    <n v="302"/>
    <n v="16"/>
    <x v="301"/>
    <x v="1"/>
  </r>
  <r>
    <s v="France"/>
    <n v="303"/>
    <n v="76"/>
    <x v="302"/>
    <x v="4"/>
  </r>
  <r>
    <s v="France"/>
    <n v="304"/>
    <n v="26"/>
    <x v="303"/>
    <x v="1"/>
  </r>
  <r>
    <s v="France"/>
    <n v="305"/>
    <n v="42"/>
    <x v="304"/>
    <x v="2"/>
  </r>
  <r>
    <s v="France"/>
    <n v="306"/>
    <n v="3"/>
    <x v="305"/>
    <x v="4"/>
  </r>
  <r>
    <s v="France"/>
    <n v="307"/>
    <n v="85"/>
    <x v="306"/>
    <x v="1"/>
  </r>
  <r>
    <s v="France"/>
    <n v="308"/>
    <n v="68"/>
    <x v="307"/>
    <x v="2"/>
  </r>
  <r>
    <s v="France"/>
    <n v="309"/>
    <n v="5"/>
    <x v="308"/>
    <x v="0"/>
  </r>
  <r>
    <s v="France"/>
    <n v="310"/>
    <n v="31"/>
    <x v="309"/>
    <x v="2"/>
  </r>
  <r>
    <s v="France"/>
    <n v="311"/>
    <n v="39"/>
    <x v="310"/>
    <x v="0"/>
  </r>
  <r>
    <s v="France"/>
    <n v="312"/>
    <n v="47"/>
    <x v="311"/>
    <x v="0"/>
  </r>
  <r>
    <s v="France"/>
    <n v="313"/>
    <n v="2"/>
    <x v="312"/>
    <x v="4"/>
  </r>
  <r>
    <s v="France"/>
    <n v="314"/>
    <n v="63"/>
    <x v="313"/>
    <x v="4"/>
  </r>
  <r>
    <s v="France"/>
    <n v="315"/>
    <n v="17"/>
    <x v="314"/>
    <x v="1"/>
  </r>
  <r>
    <s v="France"/>
    <n v="316"/>
    <n v="36"/>
    <x v="315"/>
    <x v="1"/>
  </r>
  <r>
    <s v="France"/>
    <n v="317"/>
    <n v="36"/>
    <x v="316"/>
    <x v="4"/>
  </r>
  <r>
    <s v="France"/>
    <n v="318"/>
    <n v="30"/>
    <x v="317"/>
    <x v="1"/>
  </r>
  <r>
    <s v="France"/>
    <n v="319"/>
    <n v="39"/>
    <x v="318"/>
    <x v="0"/>
  </r>
  <r>
    <s v="France"/>
    <n v="320"/>
    <n v="4"/>
    <x v="319"/>
    <x v="0"/>
  </r>
  <r>
    <s v="France"/>
    <n v="321"/>
    <n v="73"/>
    <x v="320"/>
    <x v="2"/>
  </r>
  <r>
    <s v="France"/>
    <n v="322"/>
    <n v="78"/>
    <x v="321"/>
    <x v="0"/>
  </r>
  <r>
    <s v="France"/>
    <n v="323"/>
    <n v="70"/>
    <x v="322"/>
    <x v="1"/>
  </r>
  <r>
    <s v="France"/>
    <n v="324"/>
    <n v="57"/>
    <x v="323"/>
    <x v="1"/>
  </r>
  <r>
    <s v="France"/>
    <n v="325"/>
    <n v="28"/>
    <x v="324"/>
    <x v="3"/>
  </r>
  <r>
    <s v="France"/>
    <n v="326"/>
    <n v="13"/>
    <x v="325"/>
    <x v="0"/>
  </r>
  <r>
    <s v="France"/>
    <n v="327"/>
    <n v="44"/>
    <x v="326"/>
    <x v="0"/>
  </r>
  <r>
    <s v="France"/>
    <n v="328"/>
    <n v="73"/>
    <x v="327"/>
    <x v="0"/>
  </r>
  <r>
    <s v="France"/>
    <n v="329"/>
    <n v="58"/>
    <x v="328"/>
    <x v="4"/>
  </r>
  <r>
    <s v="France"/>
    <n v="330"/>
    <n v="26"/>
    <x v="329"/>
    <x v="4"/>
  </r>
  <r>
    <s v="France"/>
    <n v="331"/>
    <n v="53"/>
    <x v="330"/>
    <x v="2"/>
  </r>
  <r>
    <s v="France"/>
    <n v="332"/>
    <n v="3"/>
    <x v="331"/>
    <x v="0"/>
  </r>
  <r>
    <s v="France"/>
    <n v="333"/>
    <n v="55"/>
    <x v="332"/>
    <x v="2"/>
  </r>
  <r>
    <s v="France"/>
    <n v="334"/>
    <n v="15"/>
    <x v="333"/>
    <x v="0"/>
  </r>
  <r>
    <s v="France"/>
    <n v="335"/>
    <n v="46"/>
    <x v="334"/>
    <x v="3"/>
  </r>
  <r>
    <s v="France"/>
    <n v="336"/>
    <n v="33"/>
    <x v="335"/>
    <x v="1"/>
  </r>
  <r>
    <s v="France"/>
    <n v="337"/>
    <n v="55"/>
    <x v="336"/>
    <x v="4"/>
  </r>
  <r>
    <s v="France"/>
    <n v="338"/>
    <n v="62"/>
    <x v="337"/>
    <x v="4"/>
  </r>
  <r>
    <s v="France"/>
    <n v="339"/>
    <n v="69"/>
    <x v="338"/>
    <x v="1"/>
  </r>
  <r>
    <s v="France"/>
    <n v="340"/>
    <n v="72"/>
    <x v="339"/>
    <x v="3"/>
  </r>
  <r>
    <s v="France"/>
    <n v="341"/>
    <n v="4"/>
    <x v="340"/>
    <x v="4"/>
  </r>
  <r>
    <s v="France"/>
    <n v="342"/>
    <n v="41"/>
    <x v="341"/>
    <x v="4"/>
  </r>
  <r>
    <s v="France"/>
    <n v="343"/>
    <n v="96"/>
    <x v="342"/>
    <x v="1"/>
  </r>
  <r>
    <s v="France"/>
    <n v="344"/>
    <n v="3"/>
    <x v="343"/>
    <x v="1"/>
  </r>
  <r>
    <s v="France"/>
    <n v="345"/>
    <n v="76"/>
    <x v="344"/>
    <x v="1"/>
  </r>
  <r>
    <s v="France"/>
    <n v="346"/>
    <n v="27"/>
    <x v="345"/>
    <x v="2"/>
  </r>
  <r>
    <s v="France"/>
    <n v="347"/>
    <n v="34"/>
    <x v="346"/>
    <x v="1"/>
  </r>
  <r>
    <s v="France"/>
    <n v="348"/>
    <n v="63"/>
    <x v="347"/>
    <x v="4"/>
  </r>
  <r>
    <s v="France"/>
    <n v="349"/>
    <n v="67"/>
    <x v="348"/>
    <x v="3"/>
  </r>
  <r>
    <s v="France"/>
    <n v="350"/>
    <n v="76"/>
    <x v="349"/>
    <x v="4"/>
  </r>
  <r>
    <s v="France"/>
    <n v="351"/>
    <n v="55"/>
    <x v="350"/>
    <x v="2"/>
  </r>
  <r>
    <s v="France"/>
    <n v="352"/>
    <n v="33"/>
    <x v="351"/>
    <x v="4"/>
  </r>
  <r>
    <s v="France"/>
    <n v="353"/>
    <n v="41"/>
    <x v="352"/>
    <x v="2"/>
  </r>
  <r>
    <s v="France"/>
    <n v="354"/>
    <n v="4"/>
    <x v="353"/>
    <x v="1"/>
  </r>
  <r>
    <s v="France"/>
    <n v="355"/>
    <n v="95"/>
    <x v="354"/>
    <x v="2"/>
  </r>
  <r>
    <s v="France"/>
    <n v="356"/>
    <n v="32"/>
    <x v="355"/>
    <x v="4"/>
  </r>
  <r>
    <s v="France"/>
    <n v="357"/>
    <n v="75"/>
    <x v="356"/>
    <x v="4"/>
  </r>
  <r>
    <s v="France"/>
    <n v="358"/>
    <n v="2"/>
    <x v="357"/>
    <x v="4"/>
  </r>
  <r>
    <s v="France"/>
    <n v="359"/>
    <n v="11"/>
    <x v="358"/>
    <x v="3"/>
  </r>
  <r>
    <s v="France"/>
    <n v="360"/>
    <n v="99"/>
    <x v="359"/>
    <x v="1"/>
  </r>
  <r>
    <s v="France"/>
    <n v="361"/>
    <n v="26"/>
    <x v="360"/>
    <x v="4"/>
  </r>
  <r>
    <s v="France"/>
    <n v="362"/>
    <n v="42"/>
    <x v="361"/>
    <x v="4"/>
  </r>
  <r>
    <s v="France"/>
    <n v="363"/>
    <n v="18"/>
    <x v="362"/>
    <x v="0"/>
  </r>
  <r>
    <s v="France"/>
    <n v="364"/>
    <n v="52"/>
    <x v="363"/>
    <x v="0"/>
  </r>
  <r>
    <s v="France"/>
    <n v="365"/>
    <n v="57"/>
    <x v="364"/>
    <x v="1"/>
  </r>
  <r>
    <s v="France"/>
    <n v="366"/>
    <n v="48"/>
    <x v="365"/>
    <x v="2"/>
  </r>
  <r>
    <s v="France"/>
    <n v="367"/>
    <n v="51"/>
    <x v="366"/>
    <x v="0"/>
  </r>
  <r>
    <s v="France"/>
    <n v="368"/>
    <n v="35"/>
    <x v="367"/>
    <x v="1"/>
  </r>
  <r>
    <s v="France"/>
    <n v="369"/>
    <n v="59"/>
    <x v="368"/>
    <x v="0"/>
  </r>
  <r>
    <s v="France"/>
    <n v="370"/>
    <n v="2"/>
    <x v="369"/>
    <x v="1"/>
  </r>
  <r>
    <s v="France"/>
    <n v="371"/>
    <n v="33"/>
    <x v="370"/>
    <x v="1"/>
  </r>
  <r>
    <s v="France"/>
    <n v="372"/>
    <n v="22"/>
    <x v="371"/>
    <x v="2"/>
  </r>
  <r>
    <s v="France"/>
    <n v="373"/>
    <n v="69"/>
    <x v="372"/>
    <x v="3"/>
  </r>
  <r>
    <s v="France"/>
    <n v="374"/>
    <n v="16"/>
    <x v="373"/>
    <x v="4"/>
  </r>
  <r>
    <s v="France"/>
    <n v="375"/>
    <n v="66"/>
    <x v="374"/>
    <x v="3"/>
  </r>
  <r>
    <s v="France"/>
    <n v="376"/>
    <n v="45"/>
    <x v="375"/>
    <x v="4"/>
  </r>
  <r>
    <s v="France"/>
    <n v="377"/>
    <n v="54"/>
    <x v="376"/>
    <x v="3"/>
  </r>
  <r>
    <s v="France"/>
    <n v="378"/>
    <n v="29"/>
    <x v="377"/>
    <x v="2"/>
  </r>
  <r>
    <s v="France"/>
    <n v="379"/>
    <n v="74"/>
    <x v="378"/>
    <x v="2"/>
  </r>
  <r>
    <s v="France"/>
    <n v="380"/>
    <n v="17"/>
    <x v="379"/>
    <x v="4"/>
  </r>
  <r>
    <s v="France"/>
    <n v="381"/>
    <n v="25"/>
    <x v="380"/>
    <x v="1"/>
  </r>
  <r>
    <s v="France"/>
    <n v="382"/>
    <n v="23"/>
    <x v="381"/>
    <x v="0"/>
  </r>
  <r>
    <s v="France"/>
    <n v="383"/>
    <n v="85"/>
    <x v="382"/>
    <x v="4"/>
  </r>
  <r>
    <s v="France"/>
    <n v="384"/>
    <n v="96"/>
    <x v="383"/>
    <x v="4"/>
  </r>
  <r>
    <s v="France"/>
    <n v="385"/>
    <n v="24"/>
    <x v="384"/>
    <x v="2"/>
  </r>
  <r>
    <s v="France"/>
    <n v="386"/>
    <n v="75"/>
    <x v="385"/>
    <x v="0"/>
  </r>
  <r>
    <s v="France"/>
    <n v="387"/>
    <n v="41"/>
    <x v="386"/>
    <x v="4"/>
  </r>
  <r>
    <s v="France"/>
    <n v="388"/>
    <n v="96"/>
    <x v="387"/>
    <x v="0"/>
  </r>
  <r>
    <s v="France"/>
    <n v="389"/>
    <n v="72"/>
    <x v="388"/>
    <x v="4"/>
  </r>
  <r>
    <s v="France"/>
    <n v="390"/>
    <n v="95"/>
    <x v="389"/>
    <x v="3"/>
  </r>
  <r>
    <s v="France"/>
    <n v="391"/>
    <n v="60"/>
    <x v="390"/>
    <x v="0"/>
  </r>
  <r>
    <s v="France"/>
    <n v="392"/>
    <n v="34"/>
    <x v="391"/>
    <x v="3"/>
  </r>
  <r>
    <s v="France"/>
    <n v="393"/>
    <n v="67"/>
    <x v="392"/>
    <x v="4"/>
  </r>
  <r>
    <s v="France"/>
    <n v="394"/>
    <n v="72"/>
    <x v="393"/>
    <x v="1"/>
  </r>
  <r>
    <s v="France"/>
    <n v="395"/>
    <n v="71"/>
    <x v="394"/>
    <x v="0"/>
  </r>
  <r>
    <s v="France"/>
    <n v="396"/>
    <n v="31"/>
    <x v="395"/>
    <x v="1"/>
  </r>
  <r>
    <s v="France"/>
    <n v="397"/>
    <n v="67"/>
    <x v="396"/>
    <x v="0"/>
  </r>
  <r>
    <s v="France"/>
    <n v="398"/>
    <n v="67"/>
    <x v="397"/>
    <x v="4"/>
  </r>
  <r>
    <s v="France"/>
    <n v="399"/>
    <n v="5"/>
    <x v="398"/>
    <x v="3"/>
  </r>
  <r>
    <s v="France"/>
    <n v="400"/>
    <n v="2"/>
    <x v="399"/>
    <x v="2"/>
  </r>
  <r>
    <s v="France"/>
    <n v="401"/>
    <n v="1"/>
    <x v="400"/>
    <x v="0"/>
  </r>
  <r>
    <s v="France"/>
    <n v="402"/>
    <n v="51"/>
    <x v="401"/>
    <x v="4"/>
  </r>
  <r>
    <s v="France"/>
    <n v="403"/>
    <n v="79"/>
    <x v="402"/>
    <x v="0"/>
  </r>
  <r>
    <s v="France"/>
    <n v="404"/>
    <n v="1"/>
    <x v="403"/>
    <x v="4"/>
  </r>
  <r>
    <s v="France"/>
    <n v="405"/>
    <n v="63"/>
    <x v="404"/>
    <x v="0"/>
  </r>
  <r>
    <s v="France"/>
    <n v="406"/>
    <n v="69"/>
    <x v="405"/>
    <x v="2"/>
  </r>
  <r>
    <s v="France"/>
    <n v="407"/>
    <n v="17"/>
    <x v="406"/>
    <x v="1"/>
  </r>
  <r>
    <s v="France"/>
    <n v="408"/>
    <n v="62"/>
    <x v="407"/>
    <x v="1"/>
  </r>
  <r>
    <s v="France"/>
    <n v="409"/>
    <n v="69"/>
    <x v="408"/>
    <x v="3"/>
  </r>
  <r>
    <s v="France"/>
    <n v="410"/>
    <n v="14"/>
    <x v="409"/>
    <x v="4"/>
  </r>
  <r>
    <s v="France"/>
    <n v="411"/>
    <n v="77"/>
    <x v="410"/>
    <x v="4"/>
  </r>
  <r>
    <s v="France"/>
    <n v="412"/>
    <n v="15"/>
    <x v="411"/>
    <x v="3"/>
  </r>
  <r>
    <s v="France"/>
    <n v="413"/>
    <n v="56"/>
    <x v="412"/>
    <x v="3"/>
  </r>
  <r>
    <s v="France"/>
    <n v="414"/>
    <n v="64"/>
    <x v="413"/>
    <x v="4"/>
  </r>
  <r>
    <s v="France"/>
    <n v="415"/>
    <n v="49"/>
    <x v="414"/>
    <x v="2"/>
  </r>
  <r>
    <s v="France"/>
    <n v="416"/>
    <n v="61"/>
    <x v="415"/>
    <x v="2"/>
  </r>
  <r>
    <s v="France"/>
    <n v="417"/>
    <n v="25"/>
    <x v="416"/>
    <x v="3"/>
  </r>
  <r>
    <s v="France"/>
    <n v="418"/>
    <n v="22"/>
    <x v="417"/>
    <x v="3"/>
  </r>
  <r>
    <s v="France"/>
    <n v="419"/>
    <n v="39"/>
    <x v="418"/>
    <x v="0"/>
  </r>
  <r>
    <s v="France"/>
    <n v="420"/>
    <n v="28"/>
    <x v="419"/>
    <x v="3"/>
  </r>
  <r>
    <s v="France"/>
    <n v="421"/>
    <n v="26"/>
    <x v="420"/>
    <x v="4"/>
  </r>
  <r>
    <s v="France"/>
    <n v="422"/>
    <n v="72"/>
    <x v="421"/>
    <x v="4"/>
  </r>
  <r>
    <s v="France"/>
    <n v="423"/>
    <n v="28"/>
    <x v="422"/>
    <x v="1"/>
  </r>
  <r>
    <s v="France"/>
    <n v="424"/>
    <n v="67"/>
    <x v="423"/>
    <x v="0"/>
  </r>
  <r>
    <s v="France"/>
    <n v="425"/>
    <n v="1"/>
    <x v="424"/>
    <x v="4"/>
  </r>
  <r>
    <s v="France"/>
    <n v="426"/>
    <n v="99"/>
    <x v="425"/>
    <x v="0"/>
  </r>
  <r>
    <s v="France"/>
    <n v="427"/>
    <n v="99"/>
    <x v="426"/>
    <x v="4"/>
  </r>
  <r>
    <s v="France"/>
    <n v="428"/>
    <n v="71"/>
    <x v="427"/>
    <x v="3"/>
  </r>
  <r>
    <s v="France"/>
    <n v="429"/>
    <n v="32"/>
    <x v="428"/>
    <x v="1"/>
  </r>
  <r>
    <s v="France"/>
    <n v="430"/>
    <n v="18"/>
    <x v="429"/>
    <x v="4"/>
  </r>
  <r>
    <s v="France"/>
    <n v="431"/>
    <n v="21"/>
    <x v="430"/>
    <x v="3"/>
  </r>
  <r>
    <s v="France"/>
    <n v="432"/>
    <n v="10"/>
    <x v="431"/>
    <x v="1"/>
  </r>
  <r>
    <s v="France"/>
    <n v="433"/>
    <n v="67"/>
    <x v="432"/>
    <x v="2"/>
  </r>
  <r>
    <s v="France"/>
    <n v="434"/>
    <n v="3"/>
    <x v="433"/>
    <x v="1"/>
  </r>
  <r>
    <s v="France"/>
    <n v="435"/>
    <n v="43"/>
    <x v="434"/>
    <x v="2"/>
  </r>
  <r>
    <s v="France"/>
    <n v="436"/>
    <n v="57"/>
    <x v="435"/>
    <x v="3"/>
  </r>
  <r>
    <s v="France"/>
    <n v="437"/>
    <n v="98"/>
    <x v="436"/>
    <x v="0"/>
  </r>
  <r>
    <s v="France"/>
    <n v="438"/>
    <n v="10"/>
    <x v="437"/>
    <x v="0"/>
  </r>
  <r>
    <s v="France"/>
    <n v="439"/>
    <n v="25"/>
    <x v="438"/>
    <x v="2"/>
  </r>
  <r>
    <s v="France"/>
    <n v="440"/>
    <n v="70"/>
    <x v="439"/>
    <x v="3"/>
  </r>
  <r>
    <s v="France"/>
    <n v="441"/>
    <n v="73"/>
    <x v="440"/>
    <x v="0"/>
  </r>
  <r>
    <s v="France"/>
    <n v="442"/>
    <n v="72"/>
    <x v="441"/>
    <x v="0"/>
  </r>
  <r>
    <s v="France"/>
    <n v="443"/>
    <n v="78"/>
    <x v="442"/>
    <x v="4"/>
  </r>
  <r>
    <s v="France"/>
    <n v="444"/>
    <n v="31"/>
    <x v="443"/>
    <x v="0"/>
  </r>
  <r>
    <s v="France"/>
    <n v="445"/>
    <n v="76"/>
    <x v="444"/>
    <x v="4"/>
  </r>
  <r>
    <s v="France"/>
    <n v="446"/>
    <n v="85"/>
    <x v="445"/>
    <x v="1"/>
  </r>
  <r>
    <s v="France"/>
    <n v="447"/>
    <n v="35"/>
    <x v="446"/>
    <x v="0"/>
  </r>
  <r>
    <s v="France"/>
    <n v="448"/>
    <n v="25"/>
    <x v="447"/>
    <x v="0"/>
  </r>
  <r>
    <s v="France"/>
    <n v="449"/>
    <n v="60"/>
    <x v="448"/>
    <x v="4"/>
  </r>
  <r>
    <s v="France"/>
    <n v="450"/>
    <n v="95"/>
    <x v="449"/>
    <x v="4"/>
  </r>
  <r>
    <s v="France"/>
    <n v="451"/>
    <n v="66"/>
    <x v="450"/>
    <x v="1"/>
  </r>
  <r>
    <s v="France"/>
    <n v="452"/>
    <n v="1"/>
    <x v="451"/>
    <x v="0"/>
  </r>
  <r>
    <s v="France"/>
    <n v="453"/>
    <n v="87"/>
    <x v="452"/>
    <x v="1"/>
  </r>
  <r>
    <s v="France"/>
    <n v="454"/>
    <n v="78"/>
    <x v="453"/>
    <x v="4"/>
  </r>
  <r>
    <s v="France"/>
    <n v="455"/>
    <n v="56"/>
    <x v="454"/>
    <x v="2"/>
  </r>
  <r>
    <s v="France"/>
    <n v="456"/>
    <n v="71"/>
    <x v="455"/>
    <x v="0"/>
  </r>
  <r>
    <s v="France"/>
    <n v="457"/>
    <n v="78"/>
    <x v="456"/>
    <x v="1"/>
  </r>
  <r>
    <s v="France"/>
    <n v="458"/>
    <n v="85"/>
    <x v="457"/>
    <x v="4"/>
  </r>
  <r>
    <s v="France"/>
    <n v="459"/>
    <n v="25"/>
    <x v="458"/>
    <x v="0"/>
  </r>
  <r>
    <s v="France"/>
    <n v="460"/>
    <n v="99"/>
    <x v="459"/>
    <x v="1"/>
  </r>
  <r>
    <s v="France"/>
    <n v="461"/>
    <n v="99"/>
    <x v="460"/>
    <x v="1"/>
  </r>
  <r>
    <s v="France"/>
    <n v="462"/>
    <n v="57"/>
    <x v="461"/>
    <x v="4"/>
  </r>
  <r>
    <s v="France"/>
    <n v="463"/>
    <n v="94"/>
    <x v="462"/>
    <x v="0"/>
  </r>
  <r>
    <s v="France"/>
    <n v="464"/>
    <n v="48"/>
    <x v="463"/>
    <x v="3"/>
  </r>
  <r>
    <s v="France"/>
    <n v="465"/>
    <n v="42"/>
    <x v="464"/>
    <x v="4"/>
  </r>
  <r>
    <s v="France"/>
    <n v="466"/>
    <n v="32"/>
    <x v="465"/>
    <x v="1"/>
  </r>
  <r>
    <s v="France"/>
    <n v="467"/>
    <n v="19"/>
    <x v="466"/>
    <x v="2"/>
  </r>
  <r>
    <s v="France"/>
    <n v="468"/>
    <n v="78"/>
    <x v="467"/>
    <x v="4"/>
  </r>
  <r>
    <s v="France"/>
    <n v="469"/>
    <n v="43"/>
    <x v="468"/>
    <x v="0"/>
  </r>
  <r>
    <s v="France"/>
    <n v="470"/>
    <n v="61"/>
    <x v="469"/>
    <x v="4"/>
  </r>
  <r>
    <s v="France"/>
    <n v="471"/>
    <n v="5"/>
    <x v="470"/>
    <x v="1"/>
  </r>
  <r>
    <s v="France"/>
    <n v="472"/>
    <n v="28"/>
    <x v="471"/>
    <x v="2"/>
  </r>
  <r>
    <s v="France"/>
    <n v="473"/>
    <n v="67"/>
    <x v="472"/>
    <x v="0"/>
  </r>
  <r>
    <s v="France"/>
    <n v="474"/>
    <n v="10"/>
    <x v="473"/>
    <x v="3"/>
  </r>
  <r>
    <s v="France"/>
    <n v="475"/>
    <n v="78"/>
    <x v="474"/>
    <x v="0"/>
  </r>
  <r>
    <s v="France"/>
    <n v="476"/>
    <n v="13"/>
    <x v="475"/>
    <x v="3"/>
  </r>
  <r>
    <s v="France"/>
    <n v="477"/>
    <n v="25"/>
    <x v="476"/>
    <x v="3"/>
  </r>
  <r>
    <s v="France"/>
    <n v="478"/>
    <n v="33"/>
    <x v="477"/>
    <x v="1"/>
  </r>
  <r>
    <s v="France"/>
    <n v="479"/>
    <n v="89"/>
    <x v="478"/>
    <x v="0"/>
  </r>
  <r>
    <s v="France"/>
    <n v="480"/>
    <n v="11"/>
    <x v="479"/>
    <x v="0"/>
  </r>
  <r>
    <s v="France"/>
    <n v="481"/>
    <n v="41"/>
    <x v="480"/>
    <x v="3"/>
  </r>
  <r>
    <s v="France"/>
    <n v="482"/>
    <n v="93"/>
    <x v="481"/>
    <x v="0"/>
  </r>
  <r>
    <s v="France"/>
    <n v="483"/>
    <n v="33"/>
    <x v="482"/>
    <x v="1"/>
  </r>
  <r>
    <s v="France"/>
    <n v="484"/>
    <n v="21"/>
    <x v="483"/>
    <x v="2"/>
  </r>
  <r>
    <s v="France"/>
    <n v="485"/>
    <n v="59"/>
    <x v="484"/>
    <x v="3"/>
  </r>
  <r>
    <s v="France"/>
    <n v="486"/>
    <n v="44"/>
    <x v="485"/>
    <x v="1"/>
  </r>
  <r>
    <s v="France"/>
    <n v="487"/>
    <n v="42"/>
    <x v="486"/>
    <x v="3"/>
  </r>
  <r>
    <s v="France"/>
    <n v="488"/>
    <n v="42"/>
    <x v="487"/>
    <x v="4"/>
  </r>
  <r>
    <s v="France"/>
    <n v="489"/>
    <n v="70"/>
    <x v="488"/>
    <x v="1"/>
  </r>
  <r>
    <s v="France"/>
    <n v="490"/>
    <n v="60"/>
    <x v="489"/>
    <x v="3"/>
  </r>
  <r>
    <s v="France"/>
    <n v="491"/>
    <n v="52"/>
    <x v="490"/>
    <x v="1"/>
  </r>
  <r>
    <s v="France"/>
    <n v="492"/>
    <n v="21"/>
    <x v="491"/>
    <x v="2"/>
  </r>
  <r>
    <s v="France"/>
    <n v="493"/>
    <n v="76"/>
    <x v="492"/>
    <x v="2"/>
  </r>
  <r>
    <s v="France"/>
    <n v="494"/>
    <n v="74"/>
    <x v="493"/>
    <x v="1"/>
  </r>
  <r>
    <s v="France"/>
    <n v="495"/>
    <n v="42"/>
    <x v="494"/>
    <x v="0"/>
  </r>
  <r>
    <s v="France"/>
    <n v="496"/>
    <n v="5"/>
    <x v="495"/>
    <x v="2"/>
  </r>
  <r>
    <s v="France"/>
    <n v="497"/>
    <n v="83"/>
    <x v="496"/>
    <x v="0"/>
  </r>
  <r>
    <s v="France"/>
    <n v="498"/>
    <n v="52"/>
    <x v="497"/>
    <x v="1"/>
  </r>
  <r>
    <s v="France"/>
    <n v="499"/>
    <n v="53"/>
    <x v="498"/>
    <x v="4"/>
  </r>
  <r>
    <s v="France"/>
    <n v="500"/>
    <n v="38"/>
    <x v="499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5">
  <r>
    <n v="10"/>
    <x v="0"/>
    <n v="0"/>
    <n v="299.7"/>
    <d v="2025-05-21T00:00:00"/>
    <x v="0"/>
    <n v="195"/>
    <x v="0"/>
  </r>
  <r>
    <n v="100"/>
    <x v="1"/>
    <n v="0"/>
    <n v="681.05"/>
    <d v="2025-04-21T00:00:00"/>
    <x v="1"/>
    <n v="518"/>
    <x v="1"/>
  </r>
  <r>
    <n v="1000"/>
    <x v="0"/>
    <n v="0"/>
    <n v="324.5"/>
    <d v="2025-05-20T00:00:00"/>
    <x v="0"/>
    <n v="439"/>
    <x v="1"/>
  </r>
  <r>
    <n v="1001"/>
    <x v="0"/>
    <n v="0"/>
    <n v="287.85000000000002"/>
    <d v="2025-04-05T00:00:00"/>
    <x v="1"/>
    <n v="349"/>
    <x v="1"/>
  </r>
  <r>
    <n v="1003"/>
    <x v="1"/>
    <n v="0"/>
    <n v="430.64"/>
    <d v="2025-06-06T00:00:00"/>
    <x v="2"/>
    <n v="727"/>
    <x v="2"/>
  </r>
  <r>
    <n v="1004"/>
    <x v="1"/>
    <n v="0"/>
    <n v="104.73"/>
    <d v="2025-04-27T00:00:00"/>
    <x v="1"/>
    <n v="983"/>
    <x v="1"/>
  </r>
  <r>
    <n v="1006"/>
    <x v="0"/>
    <n v="0"/>
    <n v="249.21"/>
    <d v="2025-05-05T00:00:00"/>
    <x v="0"/>
    <n v="309"/>
    <x v="3"/>
  </r>
  <r>
    <n v="1007"/>
    <x v="1"/>
    <n v="0"/>
    <n v="437.52"/>
    <d v="2025-04-16T00:00:00"/>
    <x v="1"/>
    <n v="53"/>
    <x v="4"/>
  </r>
  <r>
    <n v="1008"/>
    <x v="1"/>
    <n v="0"/>
    <n v="386.92"/>
    <d v="2025-05-24T00:00:00"/>
    <x v="0"/>
    <n v="593"/>
    <x v="0"/>
  </r>
  <r>
    <n v="1011"/>
    <x v="1"/>
    <n v="0"/>
    <n v="212.87"/>
    <d v="2025-04-17T00:00:00"/>
    <x v="1"/>
    <n v="161"/>
    <x v="3"/>
  </r>
  <r>
    <n v="1013"/>
    <x v="1"/>
    <n v="0"/>
    <n v="178.68"/>
    <d v="2025-04-30T00:00:00"/>
    <x v="1"/>
    <n v="296"/>
    <x v="0"/>
  </r>
  <r>
    <n v="1014"/>
    <x v="0"/>
    <n v="0"/>
    <n v="175.37"/>
    <d v="2025-05-16T00:00:00"/>
    <x v="0"/>
    <n v="578"/>
    <x v="1"/>
  </r>
  <r>
    <n v="1015"/>
    <x v="1"/>
    <n v="0"/>
    <n v="355.88"/>
    <d v="2025-05-27T00:00:00"/>
    <x v="0"/>
    <n v="151"/>
    <x v="3"/>
  </r>
  <r>
    <n v="1016"/>
    <x v="0"/>
    <n v="0"/>
    <n v="288.61"/>
    <d v="2025-04-22T00:00:00"/>
    <x v="1"/>
    <n v="973"/>
    <x v="4"/>
  </r>
  <r>
    <n v="1017"/>
    <x v="1"/>
    <n v="0"/>
    <n v="274.38"/>
    <d v="2025-05-22T00:00:00"/>
    <x v="0"/>
    <n v="613"/>
    <x v="5"/>
  </r>
  <r>
    <n v="1018"/>
    <x v="0"/>
    <n v="0"/>
    <n v="272.08"/>
    <d v="2025-05-16T00:00:00"/>
    <x v="0"/>
    <n v="462"/>
    <x v="4"/>
  </r>
  <r>
    <n v="1019"/>
    <x v="0"/>
    <n v="1"/>
    <n v="363.76"/>
    <d v="2025-05-06T00:00:00"/>
    <x v="0"/>
    <n v="43"/>
    <x v="1"/>
  </r>
  <r>
    <n v="102"/>
    <x v="1"/>
    <n v="0"/>
    <n v="289.57"/>
    <d v="2025-06-14T00:00:00"/>
    <x v="2"/>
    <n v="692"/>
    <x v="0"/>
  </r>
  <r>
    <n v="1020"/>
    <x v="0"/>
    <n v="0"/>
    <n v="423.57"/>
    <d v="2025-05-17T00:00:00"/>
    <x v="0"/>
    <n v="120"/>
    <x v="1"/>
  </r>
  <r>
    <n v="1024"/>
    <x v="1"/>
    <n v="0"/>
    <n v="391.65"/>
    <d v="2025-04-15T00:00:00"/>
    <x v="1"/>
    <n v="331"/>
    <x v="3"/>
  </r>
  <r>
    <n v="1025"/>
    <x v="1"/>
    <n v="0"/>
    <n v="89.97"/>
    <d v="2025-05-29T00:00:00"/>
    <x v="0"/>
    <n v="318"/>
    <x v="0"/>
  </r>
  <r>
    <n v="1026"/>
    <x v="0"/>
    <n v="0"/>
    <n v="218.4"/>
    <d v="2025-05-19T00:00:00"/>
    <x v="0"/>
    <n v="190"/>
    <x v="4"/>
  </r>
  <r>
    <n v="1028"/>
    <x v="0"/>
    <n v="0"/>
    <n v="288.52"/>
    <d v="2025-05-25T00:00:00"/>
    <x v="0"/>
    <n v="475"/>
    <x v="4"/>
  </r>
  <r>
    <n v="1029"/>
    <x v="0"/>
    <n v="0"/>
    <n v="229.7"/>
    <d v="2025-04-17T00:00:00"/>
    <x v="1"/>
    <n v="554"/>
    <x v="0"/>
  </r>
  <r>
    <n v="103"/>
    <x v="0"/>
    <n v="0"/>
    <n v="452.53"/>
    <d v="2025-06-13T00:00:00"/>
    <x v="2"/>
    <n v="76"/>
    <x v="1"/>
  </r>
  <r>
    <n v="1030"/>
    <x v="1"/>
    <n v="0"/>
    <n v="261.25"/>
    <d v="2025-06-16T00:00:00"/>
    <x v="2"/>
    <n v="575"/>
    <x v="5"/>
  </r>
  <r>
    <n v="1031"/>
    <x v="1"/>
    <n v="0"/>
    <n v="281.67"/>
    <d v="2025-04-06T00:00:00"/>
    <x v="1"/>
    <n v="896"/>
    <x v="2"/>
  </r>
  <r>
    <n v="1034"/>
    <x v="1"/>
    <n v="0"/>
    <n v="192.63"/>
    <d v="2025-05-31T00:00:00"/>
    <x v="0"/>
    <n v="342"/>
    <x v="5"/>
  </r>
  <r>
    <n v="1035"/>
    <x v="0"/>
    <n v="0"/>
    <n v="215.07"/>
    <d v="2025-05-05T00:00:00"/>
    <x v="0"/>
    <n v="857"/>
    <x v="1"/>
  </r>
  <r>
    <n v="1036"/>
    <x v="0"/>
    <n v="0"/>
    <n v="199.55"/>
    <d v="2025-06-13T00:00:00"/>
    <x v="2"/>
    <n v="793"/>
    <x v="4"/>
  </r>
  <r>
    <n v="1038"/>
    <x v="0"/>
    <n v="0"/>
    <n v="224.2"/>
    <d v="2025-05-04T00:00:00"/>
    <x v="0"/>
    <n v="203"/>
    <x v="4"/>
  </r>
  <r>
    <n v="1039"/>
    <x v="1"/>
    <n v="0"/>
    <n v="405.63"/>
    <d v="2025-06-13T00:00:00"/>
    <x v="2"/>
    <n v="460"/>
    <x v="5"/>
  </r>
  <r>
    <n v="104"/>
    <x v="1"/>
    <n v="0"/>
    <n v="555.25"/>
    <d v="2025-04-20T00:00:00"/>
    <x v="1"/>
    <n v="373"/>
    <x v="3"/>
  </r>
  <r>
    <n v="1040"/>
    <x v="1"/>
    <n v="1"/>
    <n v="277.8"/>
    <d v="2025-05-16T00:00:00"/>
    <x v="0"/>
    <n v="608"/>
    <x v="0"/>
  </r>
  <r>
    <n v="1042"/>
    <x v="1"/>
    <n v="1"/>
    <n v="45.5"/>
    <d v="2025-05-13T00:00:00"/>
    <x v="0"/>
    <n v="822"/>
    <x v="1"/>
  </r>
  <r>
    <n v="1044"/>
    <x v="1"/>
    <n v="0"/>
    <n v="428.76"/>
    <d v="2025-04-30T00:00:00"/>
    <x v="1"/>
    <n v="268"/>
    <x v="1"/>
  </r>
  <r>
    <n v="1045"/>
    <x v="0"/>
    <n v="0"/>
    <n v="288.98"/>
    <d v="2025-05-14T00:00:00"/>
    <x v="0"/>
    <n v="113"/>
    <x v="1"/>
  </r>
  <r>
    <n v="1047"/>
    <x v="0"/>
    <n v="0"/>
    <n v="441.52"/>
    <d v="2025-04-17T00:00:00"/>
    <x v="1"/>
    <n v="161"/>
    <x v="3"/>
  </r>
  <r>
    <n v="1049"/>
    <x v="1"/>
    <n v="0"/>
    <n v="291.23"/>
    <d v="2025-04-19T00:00:00"/>
    <x v="1"/>
    <n v="294"/>
    <x v="4"/>
  </r>
  <r>
    <n v="1050"/>
    <x v="0"/>
    <n v="1"/>
    <n v="376.24"/>
    <d v="2025-04-06T00:00:00"/>
    <x v="1"/>
    <n v="122"/>
    <x v="1"/>
  </r>
  <r>
    <n v="1052"/>
    <x v="0"/>
    <n v="0"/>
    <n v="189.24"/>
    <d v="2025-04-24T00:00:00"/>
    <x v="1"/>
    <n v="563"/>
    <x v="5"/>
  </r>
  <r>
    <n v="1053"/>
    <x v="0"/>
    <n v="0"/>
    <n v="300.19"/>
    <d v="2025-04-14T00:00:00"/>
    <x v="1"/>
    <n v="620"/>
    <x v="5"/>
  </r>
  <r>
    <n v="1054"/>
    <x v="1"/>
    <n v="0"/>
    <n v="238.03"/>
    <d v="2025-04-28T00:00:00"/>
    <x v="1"/>
    <n v="493"/>
    <x v="1"/>
  </r>
  <r>
    <n v="1055"/>
    <x v="1"/>
    <n v="0"/>
    <n v="297.77999999999997"/>
    <d v="2025-05-21T00:00:00"/>
    <x v="0"/>
    <n v="492"/>
    <x v="1"/>
  </r>
  <r>
    <n v="1058"/>
    <x v="0"/>
    <n v="0"/>
    <n v="339.2"/>
    <d v="2025-05-26T00:00:00"/>
    <x v="0"/>
    <n v="163"/>
    <x v="4"/>
  </r>
  <r>
    <n v="1059"/>
    <x v="1"/>
    <n v="1"/>
    <n v="291.47000000000003"/>
    <d v="2025-05-18T00:00:00"/>
    <x v="0"/>
    <n v="640"/>
    <x v="0"/>
  </r>
  <r>
    <n v="106"/>
    <x v="0"/>
    <n v="0"/>
    <n v="298.75"/>
    <d v="2025-04-25T00:00:00"/>
    <x v="1"/>
    <n v="21"/>
    <x v="0"/>
  </r>
  <r>
    <n v="1060"/>
    <x v="1"/>
    <n v="1"/>
    <n v="64.19"/>
    <d v="2025-05-18T00:00:00"/>
    <x v="0"/>
    <n v="648"/>
    <x v="1"/>
  </r>
  <r>
    <n v="1061"/>
    <x v="1"/>
    <n v="0"/>
    <n v="242.94"/>
    <d v="2025-04-05T00:00:00"/>
    <x v="1"/>
    <n v="201"/>
    <x v="0"/>
  </r>
  <r>
    <n v="1062"/>
    <x v="1"/>
    <n v="0"/>
    <n v="268.2"/>
    <d v="2025-05-05T00:00:00"/>
    <x v="0"/>
    <n v="100"/>
    <x v="4"/>
  </r>
  <r>
    <n v="1064"/>
    <x v="0"/>
    <n v="0"/>
    <n v="286.5"/>
    <d v="2025-04-18T00:00:00"/>
    <x v="1"/>
    <n v="670"/>
    <x v="4"/>
  </r>
  <r>
    <n v="1066"/>
    <x v="0"/>
    <n v="0"/>
    <n v="415.38"/>
    <d v="2025-05-14T00:00:00"/>
    <x v="0"/>
    <n v="340"/>
    <x v="4"/>
  </r>
  <r>
    <n v="1067"/>
    <x v="1"/>
    <n v="0"/>
    <n v="200.77"/>
    <d v="2025-05-30T00:00:00"/>
    <x v="0"/>
    <n v="176"/>
    <x v="1"/>
  </r>
  <r>
    <n v="1068"/>
    <x v="0"/>
    <n v="0"/>
    <n v="452.65"/>
    <d v="2025-05-19T00:00:00"/>
    <x v="0"/>
    <n v="104"/>
    <x v="5"/>
  </r>
  <r>
    <n v="1070"/>
    <x v="1"/>
    <n v="0"/>
    <n v="246.2"/>
    <d v="2025-04-30T00:00:00"/>
    <x v="1"/>
    <n v="244"/>
    <x v="5"/>
  </r>
  <r>
    <n v="1071"/>
    <x v="1"/>
    <n v="0"/>
    <n v="240.94"/>
    <d v="2025-06-05T00:00:00"/>
    <x v="2"/>
    <n v="338"/>
    <x v="3"/>
  </r>
  <r>
    <n v="1078"/>
    <x v="0"/>
    <n v="0"/>
    <n v="332.1"/>
    <d v="2025-06-16T00:00:00"/>
    <x v="2"/>
    <n v="521"/>
    <x v="0"/>
  </r>
  <r>
    <n v="1079"/>
    <x v="1"/>
    <n v="0"/>
    <n v="173.84"/>
    <d v="2025-06-15T00:00:00"/>
    <x v="2"/>
    <n v="837"/>
    <x v="1"/>
  </r>
  <r>
    <n v="108"/>
    <x v="0"/>
    <n v="0"/>
    <n v="646.1"/>
    <d v="2025-05-19T00:00:00"/>
    <x v="0"/>
    <n v="414"/>
    <x v="1"/>
  </r>
  <r>
    <n v="1082"/>
    <x v="1"/>
    <n v="0"/>
    <n v="298.60000000000002"/>
    <d v="2025-06-04T00:00:00"/>
    <x v="2"/>
    <n v="774"/>
    <x v="2"/>
  </r>
  <r>
    <n v="1083"/>
    <x v="0"/>
    <n v="0"/>
    <n v="313.89"/>
    <d v="2025-05-15T00:00:00"/>
    <x v="0"/>
    <n v="340"/>
    <x v="4"/>
  </r>
  <r>
    <n v="1084"/>
    <x v="0"/>
    <n v="0"/>
    <n v="495.83"/>
    <d v="2025-04-28T00:00:00"/>
    <x v="1"/>
    <n v="477"/>
    <x v="3"/>
  </r>
  <r>
    <n v="1085"/>
    <x v="0"/>
    <n v="0"/>
    <n v="200.04"/>
    <d v="2025-05-14T00:00:00"/>
    <x v="0"/>
    <n v="51"/>
    <x v="1"/>
  </r>
  <r>
    <n v="1086"/>
    <x v="0"/>
    <n v="0"/>
    <n v="224.18"/>
    <d v="2025-04-17T00:00:00"/>
    <x v="1"/>
    <n v="561"/>
    <x v="0"/>
  </r>
  <r>
    <n v="1087"/>
    <x v="1"/>
    <n v="0"/>
    <n v="364.9"/>
    <d v="2025-05-24T00:00:00"/>
    <x v="0"/>
    <n v="628"/>
    <x v="0"/>
  </r>
  <r>
    <n v="1088"/>
    <x v="1"/>
    <n v="0"/>
    <n v="340"/>
    <d v="2025-04-13T00:00:00"/>
    <x v="1"/>
    <n v="385"/>
    <x v="1"/>
  </r>
  <r>
    <n v="1093"/>
    <x v="1"/>
    <n v="0"/>
    <n v="107.55"/>
    <d v="2025-05-25T00:00:00"/>
    <x v="0"/>
    <n v="474"/>
    <x v="0"/>
  </r>
  <r>
    <n v="1095"/>
    <x v="0"/>
    <n v="0"/>
    <n v="261.45"/>
    <d v="2025-06-16T00:00:00"/>
    <x v="2"/>
    <n v="109"/>
    <x v="0"/>
  </r>
  <r>
    <n v="1096"/>
    <x v="0"/>
    <n v="0"/>
    <n v="218.98"/>
    <d v="2025-04-05T00:00:00"/>
    <x v="1"/>
    <n v="867"/>
    <x v="0"/>
  </r>
  <r>
    <n v="1097"/>
    <x v="1"/>
    <n v="0"/>
    <n v="228.41"/>
    <d v="2025-06-15T00:00:00"/>
    <x v="2"/>
    <n v="271"/>
    <x v="1"/>
  </r>
  <r>
    <n v="1098"/>
    <x v="1"/>
    <n v="0"/>
    <n v="354.25"/>
    <d v="2025-05-27T00:00:00"/>
    <x v="0"/>
    <n v="564"/>
    <x v="4"/>
  </r>
  <r>
    <n v="1099"/>
    <x v="0"/>
    <n v="1"/>
    <n v="230.63"/>
    <d v="2025-05-06T00:00:00"/>
    <x v="0"/>
    <n v="81"/>
    <x v="1"/>
  </r>
  <r>
    <n v="11"/>
    <x v="1"/>
    <n v="0"/>
    <n v="327.88"/>
    <d v="2025-05-20T00:00:00"/>
    <x v="0"/>
    <n v="187"/>
    <x v="0"/>
  </r>
  <r>
    <n v="1100"/>
    <x v="0"/>
    <n v="0"/>
    <n v="262.86"/>
    <d v="2025-06-17T00:00:00"/>
    <x v="2"/>
    <n v="837"/>
    <x v="1"/>
  </r>
  <r>
    <n v="1102"/>
    <x v="1"/>
    <n v="1"/>
    <n v="214.7"/>
    <d v="2025-05-14T00:00:00"/>
    <x v="0"/>
    <n v="624"/>
    <x v="3"/>
  </r>
  <r>
    <n v="1103"/>
    <x v="0"/>
    <n v="0"/>
    <n v="108.13"/>
    <d v="2025-05-31T00:00:00"/>
    <x v="0"/>
    <n v="393"/>
    <x v="0"/>
  </r>
  <r>
    <n v="1106"/>
    <x v="0"/>
    <n v="0"/>
    <n v="219.78"/>
    <d v="2025-06-05T00:00:00"/>
    <x v="2"/>
    <n v="35"/>
    <x v="0"/>
  </r>
  <r>
    <n v="1108"/>
    <x v="0"/>
    <n v="0"/>
    <n v="194.29"/>
    <d v="2025-05-27T00:00:00"/>
    <x v="0"/>
    <n v="58"/>
    <x v="1"/>
  </r>
  <r>
    <n v="1109"/>
    <x v="0"/>
    <n v="0"/>
    <n v="78.69"/>
    <d v="2025-05-27T00:00:00"/>
    <x v="0"/>
    <n v="359"/>
    <x v="0"/>
  </r>
  <r>
    <n v="1110"/>
    <x v="0"/>
    <n v="1"/>
    <n v="390.78"/>
    <d v="2025-06-06T00:00:00"/>
    <x v="2"/>
    <n v="402"/>
    <x v="4"/>
  </r>
  <r>
    <n v="1111"/>
    <x v="1"/>
    <n v="0"/>
    <n v="204.48"/>
    <d v="2025-04-18T00:00:00"/>
    <x v="1"/>
    <n v="687"/>
    <x v="0"/>
  </r>
  <r>
    <n v="1112"/>
    <x v="1"/>
    <n v="0"/>
    <n v="229.4"/>
    <d v="2025-04-25T00:00:00"/>
    <x v="1"/>
    <n v="953"/>
    <x v="0"/>
  </r>
  <r>
    <n v="1113"/>
    <x v="1"/>
    <n v="0"/>
    <n v="304.05"/>
    <d v="2025-04-19T00:00:00"/>
    <x v="1"/>
    <n v="958"/>
    <x v="1"/>
  </r>
  <r>
    <n v="1115"/>
    <x v="0"/>
    <n v="0"/>
    <n v="501.76"/>
    <d v="2025-04-19T00:00:00"/>
    <x v="1"/>
    <n v="872"/>
    <x v="5"/>
  </r>
  <r>
    <n v="1116"/>
    <x v="0"/>
    <n v="0"/>
    <n v="318.58999999999997"/>
    <d v="2025-05-21T00:00:00"/>
    <x v="0"/>
    <n v="640"/>
    <x v="0"/>
  </r>
  <r>
    <n v="1117"/>
    <x v="0"/>
    <n v="0"/>
    <n v="190.25"/>
    <d v="2025-06-15T00:00:00"/>
    <x v="2"/>
    <n v="660"/>
    <x v="4"/>
  </r>
  <r>
    <n v="1119"/>
    <x v="0"/>
    <n v="0"/>
    <n v="147.22"/>
    <d v="2025-05-19T00:00:00"/>
    <x v="0"/>
    <n v="976"/>
    <x v="4"/>
  </r>
  <r>
    <n v="112"/>
    <x v="0"/>
    <n v="1"/>
    <n v="445.72"/>
    <d v="2025-06-06T00:00:00"/>
    <x v="2"/>
    <n v="876"/>
    <x v="4"/>
  </r>
  <r>
    <n v="1122"/>
    <x v="0"/>
    <n v="0"/>
    <n v="412.92"/>
    <d v="2025-06-16T00:00:00"/>
    <x v="2"/>
    <n v="609"/>
    <x v="4"/>
  </r>
  <r>
    <n v="1123"/>
    <x v="0"/>
    <n v="0"/>
    <n v="342.14"/>
    <d v="2025-05-27T00:00:00"/>
    <x v="0"/>
    <n v="18"/>
    <x v="0"/>
  </r>
  <r>
    <n v="1124"/>
    <x v="0"/>
    <n v="0"/>
    <n v="162.22999999999999"/>
    <d v="2025-04-29T00:00:00"/>
    <x v="1"/>
    <n v="314"/>
    <x v="1"/>
  </r>
  <r>
    <n v="1127"/>
    <x v="0"/>
    <n v="0"/>
    <n v="281.04000000000002"/>
    <d v="2025-05-13T00:00:00"/>
    <x v="0"/>
    <n v="144"/>
    <x v="1"/>
  </r>
  <r>
    <n v="1128"/>
    <x v="1"/>
    <n v="0"/>
    <n v="96.84"/>
    <d v="2025-05-31T00:00:00"/>
    <x v="0"/>
    <n v="759"/>
    <x v="0"/>
  </r>
  <r>
    <n v="1129"/>
    <x v="1"/>
    <n v="0"/>
    <n v="125.14"/>
    <d v="2025-05-21T00:00:00"/>
    <x v="0"/>
    <n v="892"/>
    <x v="1"/>
  </r>
  <r>
    <n v="113"/>
    <x v="1"/>
    <n v="0"/>
    <n v="448.08"/>
    <d v="2025-05-25T00:00:00"/>
    <x v="0"/>
    <n v="872"/>
    <x v="5"/>
  </r>
  <r>
    <n v="1130"/>
    <x v="0"/>
    <n v="0"/>
    <n v="579.95000000000005"/>
    <d v="2025-05-26T00:00:00"/>
    <x v="0"/>
    <n v="385"/>
    <x v="1"/>
  </r>
  <r>
    <n v="1132"/>
    <x v="1"/>
    <n v="0"/>
    <n v="267.61"/>
    <d v="2025-05-20T00:00:00"/>
    <x v="0"/>
    <n v="231"/>
    <x v="0"/>
  </r>
  <r>
    <n v="1133"/>
    <x v="0"/>
    <n v="0"/>
    <n v="210.9"/>
    <d v="2025-04-25T00:00:00"/>
    <x v="1"/>
    <n v="745"/>
    <x v="4"/>
  </r>
  <r>
    <n v="1134"/>
    <x v="1"/>
    <n v="0"/>
    <n v="324.16000000000003"/>
    <d v="2025-05-28T00:00:00"/>
    <x v="0"/>
    <n v="580"/>
    <x v="4"/>
  </r>
  <r>
    <n v="1135"/>
    <x v="1"/>
    <n v="0"/>
    <n v="202.84"/>
    <d v="2025-05-20T00:00:00"/>
    <x v="0"/>
    <n v="946"/>
    <x v="0"/>
  </r>
  <r>
    <n v="1136"/>
    <x v="1"/>
    <n v="0"/>
    <n v="111.97"/>
    <d v="2025-06-14T00:00:00"/>
    <x v="2"/>
    <n v="460"/>
    <x v="5"/>
  </r>
  <r>
    <n v="1137"/>
    <x v="0"/>
    <n v="0"/>
    <n v="380.37"/>
    <d v="2025-05-17T00:00:00"/>
    <x v="0"/>
    <n v="505"/>
    <x v="1"/>
  </r>
  <r>
    <n v="1138"/>
    <x v="0"/>
    <n v="0"/>
    <n v="375.32"/>
    <d v="2025-04-27T00:00:00"/>
    <x v="1"/>
    <n v="958"/>
    <x v="1"/>
  </r>
  <r>
    <n v="1139"/>
    <x v="1"/>
    <n v="0"/>
    <n v="422.16"/>
    <d v="2025-04-16T00:00:00"/>
    <x v="1"/>
    <n v="21"/>
    <x v="0"/>
  </r>
  <r>
    <n v="114"/>
    <x v="1"/>
    <n v="0"/>
    <n v="280.43"/>
    <d v="2025-04-25T00:00:00"/>
    <x v="1"/>
    <n v="903"/>
    <x v="3"/>
  </r>
  <r>
    <n v="1143"/>
    <x v="0"/>
    <n v="1"/>
    <n v="155.13"/>
    <d v="2025-04-06T00:00:00"/>
    <x v="1"/>
    <n v="472"/>
    <x v="0"/>
  </r>
  <r>
    <n v="1144"/>
    <x v="0"/>
    <n v="0"/>
    <n v="141.99"/>
    <d v="2025-05-20T00:00:00"/>
    <x v="0"/>
    <n v="700"/>
    <x v="2"/>
  </r>
  <r>
    <n v="1146"/>
    <x v="0"/>
    <n v="0"/>
    <n v="326.72000000000003"/>
    <d v="2025-05-24T00:00:00"/>
    <x v="0"/>
    <n v="15"/>
    <x v="5"/>
  </r>
  <r>
    <n v="1148"/>
    <x v="1"/>
    <n v="1"/>
    <n v="448.98"/>
    <d v="2025-05-13T00:00:00"/>
    <x v="0"/>
    <n v="562"/>
    <x v="1"/>
  </r>
  <r>
    <n v="1149"/>
    <x v="0"/>
    <n v="0"/>
    <n v="441.5"/>
    <d v="2025-05-30T00:00:00"/>
    <x v="0"/>
    <n v="948"/>
    <x v="3"/>
  </r>
  <r>
    <n v="115"/>
    <x v="1"/>
    <n v="0"/>
    <n v="169.37"/>
    <d v="2025-05-04T00:00:00"/>
    <x v="0"/>
    <n v="879"/>
    <x v="5"/>
  </r>
  <r>
    <n v="1150"/>
    <x v="1"/>
    <n v="0"/>
    <n v="607.24"/>
    <d v="2025-06-05T00:00:00"/>
    <x v="2"/>
    <n v="220"/>
    <x v="1"/>
  </r>
  <r>
    <n v="1152"/>
    <x v="0"/>
    <n v="0"/>
    <n v="375.47"/>
    <d v="2025-04-22T00:00:00"/>
    <x v="1"/>
    <n v="157"/>
    <x v="4"/>
  </r>
  <r>
    <n v="1153"/>
    <x v="1"/>
    <n v="1"/>
    <n v="149.91"/>
    <d v="2025-05-17T00:00:00"/>
    <x v="0"/>
    <n v="177"/>
    <x v="4"/>
  </r>
  <r>
    <n v="1154"/>
    <x v="0"/>
    <n v="0"/>
    <n v="323.44"/>
    <d v="2025-05-05T00:00:00"/>
    <x v="0"/>
    <n v="314"/>
    <x v="1"/>
  </r>
  <r>
    <n v="1155"/>
    <x v="0"/>
    <n v="0"/>
    <n v="414.54"/>
    <d v="2025-05-23T00:00:00"/>
    <x v="0"/>
    <n v="843"/>
    <x v="0"/>
  </r>
  <r>
    <n v="1156"/>
    <x v="1"/>
    <n v="0"/>
    <n v="434.04"/>
    <d v="2025-05-21T00:00:00"/>
    <x v="0"/>
    <n v="963"/>
    <x v="1"/>
  </r>
  <r>
    <n v="1158"/>
    <x v="0"/>
    <n v="0"/>
    <n v="232.32"/>
    <d v="2025-04-29T00:00:00"/>
    <x v="1"/>
    <n v="764"/>
    <x v="0"/>
  </r>
  <r>
    <n v="116"/>
    <x v="1"/>
    <n v="0"/>
    <n v="195.35"/>
    <d v="2025-04-05T00:00:00"/>
    <x v="1"/>
    <n v="706"/>
    <x v="0"/>
  </r>
  <r>
    <n v="1160"/>
    <x v="0"/>
    <n v="0"/>
    <n v="326.35000000000002"/>
    <d v="2025-04-19T00:00:00"/>
    <x v="1"/>
    <n v="264"/>
    <x v="5"/>
  </r>
  <r>
    <n v="1161"/>
    <x v="1"/>
    <n v="0"/>
    <n v="282.2"/>
    <d v="2025-04-26T00:00:00"/>
    <x v="1"/>
    <n v="152"/>
    <x v="0"/>
  </r>
  <r>
    <n v="1162"/>
    <x v="1"/>
    <n v="0"/>
    <n v="490.12"/>
    <d v="2025-05-04T00:00:00"/>
    <x v="0"/>
    <n v="830"/>
    <x v="4"/>
  </r>
  <r>
    <n v="1165"/>
    <x v="0"/>
    <n v="0"/>
    <n v="154.08000000000001"/>
    <d v="2025-04-22T00:00:00"/>
    <x v="1"/>
    <n v="664"/>
    <x v="0"/>
  </r>
  <r>
    <n v="1166"/>
    <x v="0"/>
    <n v="0"/>
    <n v="284.19"/>
    <d v="2025-05-17T00:00:00"/>
    <x v="0"/>
    <n v="243"/>
    <x v="1"/>
  </r>
  <r>
    <n v="1168"/>
    <x v="0"/>
    <n v="0"/>
    <n v="296.37"/>
    <d v="2025-06-13T00:00:00"/>
    <x v="2"/>
    <n v="492"/>
    <x v="1"/>
  </r>
  <r>
    <n v="1169"/>
    <x v="0"/>
    <n v="0"/>
    <n v="122.99"/>
    <d v="2025-05-16T00:00:00"/>
    <x v="0"/>
    <n v="490"/>
    <x v="1"/>
  </r>
  <r>
    <n v="1170"/>
    <x v="1"/>
    <n v="0"/>
    <n v="214.32"/>
    <d v="2025-06-04T00:00:00"/>
    <x v="2"/>
    <n v="547"/>
    <x v="0"/>
  </r>
  <r>
    <n v="1172"/>
    <x v="0"/>
    <n v="0"/>
    <n v="387.04"/>
    <d v="2025-05-31T00:00:00"/>
    <x v="0"/>
    <n v="63"/>
    <x v="5"/>
  </r>
  <r>
    <n v="1173"/>
    <x v="1"/>
    <n v="1"/>
    <n v="216.76"/>
    <d v="2025-05-16T00:00:00"/>
    <x v="0"/>
    <n v="689"/>
    <x v="3"/>
  </r>
  <r>
    <n v="1175"/>
    <x v="0"/>
    <n v="0"/>
    <n v="71.92"/>
    <d v="2025-05-05T00:00:00"/>
    <x v="0"/>
    <n v="664"/>
    <x v="0"/>
  </r>
  <r>
    <n v="1177"/>
    <x v="0"/>
    <n v="0"/>
    <n v="405.31"/>
    <d v="2025-04-27T00:00:00"/>
    <x v="1"/>
    <n v="960"/>
    <x v="1"/>
  </r>
  <r>
    <n v="1178"/>
    <x v="1"/>
    <n v="0"/>
    <n v="286.19"/>
    <d v="2025-04-15T00:00:00"/>
    <x v="1"/>
    <n v="274"/>
    <x v="1"/>
  </r>
  <r>
    <n v="1179"/>
    <x v="0"/>
    <n v="0"/>
    <n v="250.58"/>
    <d v="2025-04-29T00:00:00"/>
    <x v="1"/>
    <n v="462"/>
    <x v="4"/>
  </r>
  <r>
    <n v="118"/>
    <x v="0"/>
    <n v="0"/>
    <n v="788.58"/>
    <d v="2025-05-18T00:00:00"/>
    <x v="0"/>
    <n v="92"/>
    <x v="4"/>
  </r>
  <r>
    <n v="1180"/>
    <x v="0"/>
    <n v="0"/>
    <n v="273.14"/>
    <d v="2025-05-26T00:00:00"/>
    <x v="0"/>
    <n v="777"/>
    <x v="3"/>
  </r>
  <r>
    <n v="1182"/>
    <x v="0"/>
    <n v="0"/>
    <n v="189.9"/>
    <d v="2025-06-16T00:00:00"/>
    <x v="2"/>
    <n v="936"/>
    <x v="5"/>
  </r>
  <r>
    <n v="1183"/>
    <x v="1"/>
    <n v="0"/>
    <n v="464.44"/>
    <d v="2025-04-18T00:00:00"/>
    <x v="1"/>
    <n v="792"/>
    <x v="4"/>
  </r>
  <r>
    <n v="1184"/>
    <x v="1"/>
    <n v="0"/>
    <n v="126.28"/>
    <d v="2025-04-25T00:00:00"/>
    <x v="1"/>
    <n v="752"/>
    <x v="4"/>
  </r>
  <r>
    <n v="1185"/>
    <x v="0"/>
    <n v="0"/>
    <n v="207.36"/>
    <d v="2025-05-05T00:00:00"/>
    <x v="0"/>
    <n v="15"/>
    <x v="5"/>
  </r>
  <r>
    <n v="1186"/>
    <x v="0"/>
    <n v="0"/>
    <n v="521.99"/>
    <d v="2025-04-17T00:00:00"/>
    <x v="1"/>
    <n v="749"/>
    <x v="3"/>
  </r>
  <r>
    <n v="1187"/>
    <x v="0"/>
    <n v="0"/>
    <n v="161.41999999999999"/>
    <d v="2025-04-14T00:00:00"/>
    <x v="1"/>
    <n v="365"/>
    <x v="0"/>
  </r>
  <r>
    <n v="1189"/>
    <x v="0"/>
    <n v="0"/>
    <n v="443.88"/>
    <d v="2025-04-24T00:00:00"/>
    <x v="1"/>
    <n v="131"/>
    <x v="1"/>
  </r>
  <r>
    <n v="1192"/>
    <x v="1"/>
    <n v="0"/>
    <n v="302.23"/>
    <d v="2025-05-22T00:00:00"/>
    <x v="0"/>
    <n v="702"/>
    <x v="2"/>
  </r>
  <r>
    <n v="1193"/>
    <x v="0"/>
    <n v="0"/>
    <n v="388.54"/>
    <d v="2025-04-15T00:00:00"/>
    <x v="1"/>
    <n v="864"/>
    <x v="5"/>
  </r>
  <r>
    <n v="1194"/>
    <x v="0"/>
    <n v="0"/>
    <n v="419.1"/>
    <d v="2025-05-13T00:00:00"/>
    <x v="0"/>
    <n v="816"/>
    <x v="5"/>
  </r>
  <r>
    <n v="1195"/>
    <x v="1"/>
    <n v="0"/>
    <n v="137.94"/>
    <d v="2025-04-22T00:00:00"/>
    <x v="1"/>
    <n v="403"/>
    <x v="1"/>
  </r>
  <r>
    <n v="1196"/>
    <x v="1"/>
    <n v="0"/>
    <n v="164.14"/>
    <d v="2025-05-23T00:00:00"/>
    <x v="0"/>
    <n v="160"/>
    <x v="1"/>
  </r>
  <r>
    <n v="1197"/>
    <x v="0"/>
    <n v="0"/>
    <n v="384.56"/>
    <d v="2025-05-22T00:00:00"/>
    <x v="0"/>
    <n v="390"/>
    <x v="1"/>
  </r>
  <r>
    <n v="1198"/>
    <x v="0"/>
    <n v="1"/>
    <n v="169.7"/>
    <d v="2025-05-06T00:00:00"/>
    <x v="0"/>
    <n v="914"/>
    <x v="3"/>
  </r>
  <r>
    <n v="1199"/>
    <x v="0"/>
    <n v="0"/>
    <n v="342.57"/>
    <d v="2025-06-14T00:00:00"/>
    <x v="2"/>
    <n v="922"/>
    <x v="3"/>
  </r>
  <r>
    <n v="120"/>
    <x v="0"/>
    <n v="1"/>
    <n v="431.8"/>
    <d v="2025-06-06T00:00:00"/>
    <x v="2"/>
    <n v="999"/>
    <x v="1"/>
  </r>
  <r>
    <n v="1200"/>
    <x v="1"/>
    <n v="1"/>
    <n v="206.5"/>
    <d v="2025-05-16T00:00:00"/>
    <x v="0"/>
    <n v="171"/>
    <x v="4"/>
  </r>
  <r>
    <n v="1201"/>
    <x v="1"/>
    <n v="0"/>
    <n v="252.86"/>
    <d v="2025-04-17T00:00:00"/>
    <x v="1"/>
    <n v="625"/>
    <x v="2"/>
  </r>
  <r>
    <n v="1205"/>
    <x v="0"/>
    <n v="0"/>
    <n v="311.61"/>
    <d v="2025-05-28T00:00:00"/>
    <x v="0"/>
    <n v="88"/>
    <x v="1"/>
  </r>
  <r>
    <n v="1206"/>
    <x v="0"/>
    <n v="0"/>
    <n v="310.54000000000002"/>
    <d v="2025-04-19T00:00:00"/>
    <x v="1"/>
    <n v="701"/>
    <x v="3"/>
  </r>
  <r>
    <n v="1207"/>
    <x v="1"/>
    <n v="0"/>
    <n v="278.18"/>
    <d v="2025-04-05T00:00:00"/>
    <x v="1"/>
    <n v="907"/>
    <x v="3"/>
  </r>
  <r>
    <n v="1208"/>
    <x v="0"/>
    <n v="1"/>
    <n v="454.1"/>
    <d v="2025-06-06T00:00:00"/>
    <x v="2"/>
    <n v="388"/>
    <x v="0"/>
  </r>
  <r>
    <n v="1209"/>
    <x v="0"/>
    <n v="0"/>
    <n v="208.57"/>
    <d v="2025-04-20T00:00:00"/>
    <x v="1"/>
    <n v="90"/>
    <x v="1"/>
  </r>
  <r>
    <n v="121"/>
    <x v="1"/>
    <n v="0"/>
    <n v="566.29"/>
    <d v="2025-04-25T00:00:00"/>
    <x v="1"/>
    <n v="867"/>
    <x v="0"/>
  </r>
  <r>
    <n v="1210"/>
    <x v="1"/>
    <n v="0"/>
    <n v="543.20000000000005"/>
    <d v="2025-06-17T00:00:00"/>
    <x v="2"/>
    <n v="864"/>
    <x v="5"/>
  </r>
  <r>
    <n v="1211"/>
    <x v="1"/>
    <n v="0"/>
    <n v="317.66000000000003"/>
    <d v="2025-05-23T00:00:00"/>
    <x v="0"/>
    <n v="346"/>
    <x v="4"/>
  </r>
  <r>
    <n v="1213"/>
    <x v="0"/>
    <n v="0"/>
    <n v="365.27"/>
    <d v="2025-05-16T00:00:00"/>
    <x v="0"/>
    <n v="155"/>
    <x v="1"/>
  </r>
  <r>
    <n v="1214"/>
    <x v="0"/>
    <n v="1"/>
    <n v="301.3"/>
    <d v="2025-06-06T00:00:00"/>
    <x v="2"/>
    <n v="280"/>
    <x v="1"/>
  </r>
  <r>
    <n v="1215"/>
    <x v="1"/>
    <n v="0"/>
    <n v="562.51"/>
    <d v="2025-04-22T00:00:00"/>
    <x v="1"/>
    <n v="638"/>
    <x v="0"/>
  </r>
  <r>
    <n v="1216"/>
    <x v="1"/>
    <n v="0"/>
    <n v="105.22"/>
    <d v="2025-04-27T00:00:00"/>
    <x v="1"/>
    <n v="915"/>
    <x v="3"/>
  </r>
  <r>
    <n v="1218"/>
    <x v="1"/>
    <n v="0"/>
    <n v="293.92"/>
    <d v="2025-04-23T00:00:00"/>
    <x v="1"/>
    <n v="497"/>
    <x v="1"/>
  </r>
  <r>
    <n v="1219"/>
    <x v="0"/>
    <n v="0"/>
    <n v="274.11"/>
    <d v="2025-05-14T00:00:00"/>
    <x v="0"/>
    <n v="234"/>
    <x v="4"/>
  </r>
  <r>
    <n v="1220"/>
    <x v="0"/>
    <n v="0"/>
    <n v="299.77"/>
    <d v="2025-05-21T00:00:00"/>
    <x v="0"/>
    <n v="150"/>
    <x v="0"/>
  </r>
  <r>
    <n v="1223"/>
    <x v="1"/>
    <n v="1"/>
    <n v="70.56"/>
    <d v="2025-05-17T00:00:00"/>
    <x v="0"/>
    <n v="380"/>
    <x v="4"/>
  </r>
  <r>
    <n v="1224"/>
    <x v="0"/>
    <n v="0"/>
    <n v="172.89"/>
    <d v="2025-04-19T00:00:00"/>
    <x v="1"/>
    <n v="461"/>
    <x v="1"/>
  </r>
  <r>
    <n v="1225"/>
    <x v="1"/>
    <n v="0"/>
    <n v="232.25"/>
    <d v="2025-04-27T00:00:00"/>
    <x v="1"/>
    <n v="204"/>
    <x v="1"/>
  </r>
  <r>
    <n v="1226"/>
    <x v="1"/>
    <n v="1"/>
    <n v="164.4"/>
    <d v="2025-05-18T00:00:00"/>
    <x v="0"/>
    <n v="36"/>
    <x v="0"/>
  </r>
  <r>
    <n v="1227"/>
    <x v="1"/>
    <n v="0"/>
    <n v="241.04"/>
    <d v="2025-04-13T00:00:00"/>
    <x v="1"/>
    <n v="780"/>
    <x v="2"/>
  </r>
  <r>
    <n v="1229"/>
    <x v="1"/>
    <n v="0"/>
    <n v="343.99"/>
    <d v="2025-05-29T00:00:00"/>
    <x v="0"/>
    <n v="503"/>
    <x v="4"/>
  </r>
  <r>
    <n v="123"/>
    <x v="1"/>
    <n v="0"/>
    <n v="410.04"/>
    <d v="2025-05-21T00:00:00"/>
    <x v="0"/>
    <n v="769"/>
    <x v="4"/>
  </r>
  <r>
    <n v="1230"/>
    <x v="0"/>
    <n v="0"/>
    <n v="220.21"/>
    <d v="2025-05-19T00:00:00"/>
    <x v="0"/>
    <n v="954"/>
    <x v="2"/>
  </r>
  <r>
    <n v="1231"/>
    <x v="1"/>
    <n v="0"/>
    <n v="535.45000000000005"/>
    <d v="2025-05-04T00:00:00"/>
    <x v="0"/>
    <n v="346"/>
    <x v="4"/>
  </r>
  <r>
    <n v="1234"/>
    <x v="1"/>
    <n v="0"/>
    <n v="338.34"/>
    <d v="2025-04-23T00:00:00"/>
    <x v="1"/>
    <n v="641"/>
    <x v="3"/>
  </r>
  <r>
    <n v="1236"/>
    <x v="0"/>
    <n v="0"/>
    <n v="428.95"/>
    <d v="2025-06-05T00:00:00"/>
    <x v="2"/>
    <n v="792"/>
    <x v="4"/>
  </r>
  <r>
    <n v="1237"/>
    <x v="0"/>
    <n v="0"/>
    <n v="400.86"/>
    <d v="2025-04-28T00:00:00"/>
    <x v="1"/>
    <n v="305"/>
    <x v="1"/>
  </r>
  <r>
    <n v="1239"/>
    <x v="0"/>
    <n v="0"/>
    <n v="385.12"/>
    <d v="2025-05-28T00:00:00"/>
    <x v="0"/>
    <n v="253"/>
    <x v="0"/>
  </r>
  <r>
    <n v="124"/>
    <x v="0"/>
    <n v="0"/>
    <n v="245.7"/>
    <d v="2025-04-19T00:00:00"/>
    <x v="1"/>
    <n v="99"/>
    <x v="3"/>
  </r>
  <r>
    <n v="1243"/>
    <x v="0"/>
    <n v="0"/>
    <n v="138.93"/>
    <d v="2025-05-19T00:00:00"/>
    <x v="0"/>
    <n v="263"/>
    <x v="0"/>
  </r>
  <r>
    <n v="1244"/>
    <x v="0"/>
    <n v="0"/>
    <n v="426.38"/>
    <d v="2025-05-31T00:00:00"/>
    <x v="0"/>
    <n v="816"/>
    <x v="5"/>
  </r>
  <r>
    <n v="1245"/>
    <x v="0"/>
    <n v="0"/>
    <n v="261.02"/>
    <d v="2025-05-17T00:00:00"/>
    <x v="0"/>
    <n v="348"/>
    <x v="1"/>
  </r>
  <r>
    <n v="1247"/>
    <x v="0"/>
    <n v="0"/>
    <n v="540.15"/>
    <d v="2025-04-21T00:00:00"/>
    <x v="1"/>
    <n v="563"/>
    <x v="5"/>
  </r>
  <r>
    <n v="1248"/>
    <x v="1"/>
    <n v="0"/>
    <n v="190.53"/>
    <d v="2025-04-13T00:00:00"/>
    <x v="1"/>
    <n v="898"/>
    <x v="4"/>
  </r>
  <r>
    <n v="1249"/>
    <x v="0"/>
    <n v="0"/>
    <n v="139.01"/>
    <d v="2025-06-13T00:00:00"/>
    <x v="2"/>
    <n v="467"/>
    <x v="3"/>
  </r>
  <r>
    <n v="125"/>
    <x v="1"/>
    <n v="0"/>
    <n v="391.31"/>
    <d v="2025-05-06T00:00:00"/>
    <x v="0"/>
    <n v="601"/>
    <x v="1"/>
  </r>
  <r>
    <n v="1251"/>
    <x v="1"/>
    <n v="0"/>
    <n v="202.77"/>
    <d v="2025-04-30T00:00:00"/>
    <x v="1"/>
    <n v="662"/>
    <x v="4"/>
  </r>
  <r>
    <n v="1252"/>
    <x v="0"/>
    <n v="0"/>
    <n v="429.24"/>
    <d v="2025-04-29T00:00:00"/>
    <x v="1"/>
    <n v="986"/>
    <x v="5"/>
  </r>
  <r>
    <n v="1253"/>
    <x v="0"/>
    <n v="0"/>
    <n v="289.93"/>
    <d v="2025-04-24T00:00:00"/>
    <x v="1"/>
    <n v="611"/>
    <x v="3"/>
  </r>
  <r>
    <n v="1254"/>
    <x v="1"/>
    <n v="0"/>
    <n v="492.02"/>
    <d v="2025-05-26T00:00:00"/>
    <x v="0"/>
    <n v="103"/>
    <x v="0"/>
  </r>
  <r>
    <n v="1255"/>
    <x v="1"/>
    <n v="0"/>
    <n v="104.81"/>
    <d v="2025-04-16T00:00:00"/>
    <x v="1"/>
    <n v="464"/>
    <x v="1"/>
  </r>
  <r>
    <n v="1256"/>
    <x v="1"/>
    <n v="0"/>
    <n v="211.32"/>
    <d v="2025-04-16T00:00:00"/>
    <x v="1"/>
    <n v="393"/>
    <x v="0"/>
  </r>
  <r>
    <n v="1257"/>
    <x v="0"/>
    <n v="0"/>
    <n v="420.75"/>
    <d v="2025-05-27T00:00:00"/>
    <x v="0"/>
    <n v="510"/>
    <x v="0"/>
  </r>
  <r>
    <n v="1258"/>
    <x v="1"/>
    <n v="0"/>
    <n v="436.16"/>
    <d v="2025-05-22T00:00:00"/>
    <x v="0"/>
    <n v="5"/>
    <x v="3"/>
  </r>
  <r>
    <n v="1259"/>
    <x v="0"/>
    <n v="0"/>
    <n v="296.24"/>
    <d v="2025-04-15T00:00:00"/>
    <x v="1"/>
    <n v="762"/>
    <x v="3"/>
  </r>
  <r>
    <n v="126"/>
    <x v="0"/>
    <n v="0"/>
    <n v="484.47"/>
    <d v="2025-05-15T00:00:00"/>
    <x v="0"/>
    <n v="476"/>
    <x v="1"/>
  </r>
  <r>
    <n v="1262"/>
    <x v="0"/>
    <n v="0"/>
    <n v="345.74"/>
    <d v="2025-04-28T00:00:00"/>
    <x v="1"/>
    <n v="456"/>
    <x v="4"/>
  </r>
  <r>
    <n v="1263"/>
    <x v="1"/>
    <n v="0"/>
    <n v="230.86"/>
    <d v="2025-04-22T00:00:00"/>
    <x v="1"/>
    <n v="974"/>
    <x v="4"/>
  </r>
  <r>
    <n v="1265"/>
    <x v="0"/>
    <n v="0"/>
    <n v="447.76"/>
    <d v="2025-05-21T00:00:00"/>
    <x v="0"/>
    <n v="116"/>
    <x v="5"/>
  </r>
  <r>
    <n v="1268"/>
    <x v="0"/>
    <n v="0"/>
    <n v="313.3"/>
    <d v="2025-05-18T00:00:00"/>
    <x v="0"/>
    <n v="767"/>
    <x v="5"/>
  </r>
  <r>
    <n v="1269"/>
    <x v="1"/>
    <n v="0"/>
    <n v="159.58000000000001"/>
    <d v="2025-06-14T00:00:00"/>
    <x v="2"/>
    <n v="930"/>
    <x v="5"/>
  </r>
  <r>
    <n v="127"/>
    <x v="1"/>
    <n v="0"/>
    <n v="566.98"/>
    <d v="2025-04-13T00:00:00"/>
    <x v="1"/>
    <n v="490"/>
    <x v="1"/>
  </r>
  <r>
    <n v="1270"/>
    <x v="1"/>
    <n v="0"/>
    <n v="295.25"/>
    <d v="2025-04-24T00:00:00"/>
    <x v="1"/>
    <n v="459"/>
    <x v="0"/>
  </r>
  <r>
    <n v="1271"/>
    <x v="0"/>
    <n v="0"/>
    <n v="314.70999999999998"/>
    <d v="2025-05-04T00:00:00"/>
    <x v="0"/>
    <n v="633"/>
    <x v="3"/>
  </r>
  <r>
    <n v="1272"/>
    <x v="1"/>
    <n v="0"/>
    <n v="188.26"/>
    <d v="2025-04-15T00:00:00"/>
    <x v="1"/>
    <n v="254"/>
    <x v="4"/>
  </r>
  <r>
    <n v="1273"/>
    <x v="1"/>
    <n v="0"/>
    <n v="286.62"/>
    <d v="2025-05-24T00:00:00"/>
    <x v="0"/>
    <n v="510"/>
    <x v="0"/>
  </r>
  <r>
    <n v="1275"/>
    <x v="1"/>
    <n v="0"/>
    <n v="323.54000000000002"/>
    <d v="2025-04-04T00:00:00"/>
    <x v="1"/>
    <n v="655"/>
    <x v="4"/>
  </r>
  <r>
    <n v="1276"/>
    <x v="1"/>
    <n v="0"/>
    <n v="309.58"/>
    <d v="2025-06-05T00:00:00"/>
    <x v="2"/>
    <n v="704"/>
    <x v="1"/>
  </r>
  <r>
    <n v="1277"/>
    <x v="1"/>
    <n v="0"/>
    <n v="440.86"/>
    <d v="2025-06-05T00:00:00"/>
    <x v="2"/>
    <n v="277"/>
    <x v="4"/>
  </r>
  <r>
    <n v="128"/>
    <x v="0"/>
    <n v="0"/>
    <n v="282.19"/>
    <d v="2025-04-19T00:00:00"/>
    <x v="1"/>
    <n v="115"/>
    <x v="1"/>
  </r>
  <r>
    <n v="1280"/>
    <x v="1"/>
    <n v="0"/>
    <n v="168.2"/>
    <d v="2025-04-23T00:00:00"/>
    <x v="1"/>
    <n v="647"/>
    <x v="0"/>
  </r>
  <r>
    <n v="1281"/>
    <x v="1"/>
    <n v="0"/>
    <n v="140.28"/>
    <d v="2025-04-06T00:00:00"/>
    <x v="1"/>
    <n v="772"/>
    <x v="3"/>
  </r>
  <r>
    <n v="1285"/>
    <x v="1"/>
    <n v="0"/>
    <n v="395.24"/>
    <d v="2025-05-31T00:00:00"/>
    <x v="0"/>
    <n v="581"/>
    <x v="1"/>
  </r>
  <r>
    <n v="1286"/>
    <x v="0"/>
    <n v="1"/>
    <n v="213.94"/>
    <d v="2025-06-06T00:00:00"/>
    <x v="2"/>
    <n v="628"/>
    <x v="0"/>
  </r>
  <r>
    <n v="129"/>
    <x v="1"/>
    <n v="0"/>
    <n v="442.47"/>
    <d v="2025-05-26T00:00:00"/>
    <x v="0"/>
    <n v="81"/>
    <x v="1"/>
  </r>
  <r>
    <n v="1290"/>
    <x v="0"/>
    <n v="0"/>
    <n v="152.54"/>
    <d v="2025-04-22T00:00:00"/>
    <x v="1"/>
    <n v="99"/>
    <x v="3"/>
  </r>
  <r>
    <n v="1291"/>
    <x v="0"/>
    <n v="0"/>
    <n v="101.64"/>
    <d v="2025-05-19T00:00:00"/>
    <x v="0"/>
    <n v="615"/>
    <x v="2"/>
  </r>
  <r>
    <n v="1292"/>
    <x v="0"/>
    <n v="0"/>
    <n v="390.07"/>
    <d v="2025-04-21T00:00:00"/>
    <x v="1"/>
    <n v="338"/>
    <x v="3"/>
  </r>
  <r>
    <n v="1294"/>
    <x v="0"/>
    <n v="0"/>
    <n v="249.28"/>
    <d v="2025-04-22T00:00:00"/>
    <x v="1"/>
    <n v="407"/>
    <x v="4"/>
  </r>
  <r>
    <n v="1295"/>
    <x v="0"/>
    <n v="0"/>
    <n v="275.39"/>
    <d v="2025-05-17T00:00:00"/>
    <x v="0"/>
    <n v="144"/>
    <x v="1"/>
  </r>
  <r>
    <n v="1296"/>
    <x v="1"/>
    <n v="1"/>
    <n v="108.54"/>
    <d v="2025-05-18T00:00:00"/>
    <x v="0"/>
    <n v="331"/>
    <x v="3"/>
  </r>
  <r>
    <n v="1297"/>
    <x v="1"/>
    <n v="0"/>
    <n v="167.61"/>
    <d v="2025-04-29T00:00:00"/>
    <x v="1"/>
    <n v="14"/>
    <x v="1"/>
  </r>
  <r>
    <n v="1298"/>
    <x v="0"/>
    <n v="0"/>
    <n v="115.34"/>
    <d v="2025-05-16T00:00:00"/>
    <x v="0"/>
    <n v="993"/>
    <x v="1"/>
  </r>
  <r>
    <n v="13"/>
    <x v="1"/>
    <n v="0"/>
    <n v="696.62"/>
    <d v="2025-04-16T00:00:00"/>
    <x v="1"/>
    <n v="253"/>
    <x v="0"/>
  </r>
  <r>
    <n v="130"/>
    <x v="1"/>
    <n v="0"/>
    <n v="553.91999999999996"/>
    <d v="2025-04-05T00:00:00"/>
    <x v="1"/>
    <n v="962"/>
    <x v="2"/>
  </r>
  <r>
    <n v="1300"/>
    <x v="0"/>
    <n v="0"/>
    <n v="303"/>
    <d v="2025-04-15T00:00:00"/>
    <x v="1"/>
    <n v="147"/>
    <x v="1"/>
  </r>
  <r>
    <n v="1303"/>
    <x v="0"/>
    <n v="0"/>
    <n v="287.88"/>
    <d v="2025-05-21T00:00:00"/>
    <x v="0"/>
    <n v="22"/>
    <x v="1"/>
  </r>
  <r>
    <n v="1304"/>
    <x v="1"/>
    <n v="0"/>
    <n v="88.35"/>
    <d v="2025-04-14T00:00:00"/>
    <x v="1"/>
    <n v="839"/>
    <x v="1"/>
  </r>
  <r>
    <n v="1306"/>
    <x v="0"/>
    <n v="0"/>
    <n v="334.56"/>
    <d v="2025-06-15T00:00:00"/>
    <x v="2"/>
    <n v="188"/>
    <x v="0"/>
  </r>
  <r>
    <n v="1308"/>
    <x v="0"/>
    <n v="0"/>
    <n v="254.26"/>
    <d v="2025-05-14T00:00:00"/>
    <x v="0"/>
    <n v="872"/>
    <x v="5"/>
  </r>
  <r>
    <n v="1309"/>
    <x v="1"/>
    <n v="0"/>
    <n v="299.49"/>
    <d v="2025-04-19T00:00:00"/>
    <x v="1"/>
    <n v="131"/>
    <x v="1"/>
  </r>
  <r>
    <n v="131"/>
    <x v="0"/>
    <n v="0"/>
    <n v="625.66"/>
    <d v="2025-04-22T00:00:00"/>
    <x v="1"/>
    <n v="816"/>
    <x v="5"/>
  </r>
  <r>
    <n v="1310"/>
    <x v="0"/>
    <n v="0"/>
    <n v="504.88"/>
    <d v="2025-05-22T00:00:00"/>
    <x v="0"/>
    <n v="798"/>
    <x v="2"/>
  </r>
  <r>
    <n v="1311"/>
    <x v="0"/>
    <n v="0"/>
    <n v="268.73"/>
    <d v="2025-05-31T00:00:00"/>
    <x v="0"/>
    <n v="958"/>
    <x v="1"/>
  </r>
  <r>
    <n v="1312"/>
    <x v="1"/>
    <n v="0"/>
    <n v="429.04"/>
    <d v="2025-04-28T00:00:00"/>
    <x v="1"/>
    <n v="841"/>
    <x v="3"/>
  </r>
  <r>
    <n v="1313"/>
    <x v="1"/>
    <n v="0"/>
    <n v="190.84"/>
    <d v="2025-05-24T00:00:00"/>
    <x v="0"/>
    <n v="601"/>
    <x v="1"/>
  </r>
  <r>
    <n v="1314"/>
    <x v="1"/>
    <n v="0"/>
    <n v="234.64"/>
    <d v="2025-04-06T00:00:00"/>
    <x v="1"/>
    <n v="776"/>
    <x v="2"/>
  </r>
  <r>
    <n v="1315"/>
    <x v="1"/>
    <n v="0"/>
    <n v="409.24"/>
    <d v="2025-04-26T00:00:00"/>
    <x v="1"/>
    <n v="344"/>
    <x v="5"/>
  </r>
  <r>
    <n v="1316"/>
    <x v="1"/>
    <n v="1"/>
    <n v="134.97999999999999"/>
    <d v="2025-05-15T00:00:00"/>
    <x v="0"/>
    <n v="392"/>
    <x v="5"/>
  </r>
  <r>
    <n v="1317"/>
    <x v="0"/>
    <n v="0"/>
    <n v="288.56"/>
    <d v="2025-06-04T00:00:00"/>
    <x v="2"/>
    <n v="285"/>
    <x v="0"/>
  </r>
  <r>
    <n v="1318"/>
    <x v="0"/>
    <n v="0"/>
    <n v="323.18"/>
    <d v="2025-05-18T00:00:00"/>
    <x v="0"/>
    <n v="265"/>
    <x v="4"/>
  </r>
  <r>
    <n v="132"/>
    <x v="1"/>
    <n v="0"/>
    <n v="395.09"/>
    <d v="2025-04-20T00:00:00"/>
    <x v="1"/>
    <n v="839"/>
    <x v="1"/>
  </r>
  <r>
    <n v="1320"/>
    <x v="0"/>
    <n v="0"/>
    <n v="91.9"/>
    <d v="2025-04-17T00:00:00"/>
    <x v="1"/>
    <n v="730"/>
    <x v="3"/>
  </r>
  <r>
    <n v="1321"/>
    <x v="0"/>
    <n v="0"/>
    <n v="455.53"/>
    <d v="2025-06-14T00:00:00"/>
    <x v="2"/>
    <n v="217"/>
    <x v="4"/>
  </r>
  <r>
    <n v="1322"/>
    <x v="0"/>
    <n v="0"/>
    <n v="269.83999999999997"/>
    <d v="2025-05-27T00:00:00"/>
    <x v="0"/>
    <n v="27"/>
    <x v="4"/>
  </r>
  <r>
    <n v="1326"/>
    <x v="0"/>
    <n v="0"/>
    <n v="310.98"/>
    <d v="2025-05-18T00:00:00"/>
    <x v="0"/>
    <n v="883"/>
    <x v="4"/>
  </r>
  <r>
    <n v="1327"/>
    <x v="0"/>
    <n v="0"/>
    <n v="113.56"/>
    <d v="2025-04-19T00:00:00"/>
    <x v="1"/>
    <n v="770"/>
    <x v="2"/>
  </r>
  <r>
    <n v="1328"/>
    <x v="0"/>
    <n v="0"/>
    <n v="143.15"/>
    <d v="2025-06-16T00:00:00"/>
    <x v="2"/>
    <n v="201"/>
    <x v="0"/>
  </r>
  <r>
    <n v="1329"/>
    <x v="1"/>
    <n v="0"/>
    <n v="94.92"/>
    <d v="2025-04-27T00:00:00"/>
    <x v="1"/>
    <n v="28"/>
    <x v="3"/>
  </r>
  <r>
    <n v="133"/>
    <x v="1"/>
    <n v="0"/>
    <n v="450.74"/>
    <d v="2025-06-14T00:00:00"/>
    <x v="2"/>
    <n v="570"/>
    <x v="3"/>
  </r>
  <r>
    <n v="1330"/>
    <x v="1"/>
    <n v="0"/>
    <n v="343.78"/>
    <d v="2025-04-04T00:00:00"/>
    <x v="1"/>
    <n v="277"/>
    <x v="4"/>
  </r>
  <r>
    <n v="1331"/>
    <x v="1"/>
    <n v="0"/>
    <n v="257.02999999999997"/>
    <d v="2025-04-26T00:00:00"/>
    <x v="1"/>
    <n v="447"/>
    <x v="0"/>
  </r>
  <r>
    <n v="1332"/>
    <x v="0"/>
    <n v="0"/>
    <n v="161.81"/>
    <d v="2025-05-13T00:00:00"/>
    <x v="0"/>
    <n v="783"/>
    <x v="4"/>
  </r>
  <r>
    <n v="1333"/>
    <x v="1"/>
    <n v="1"/>
    <n v="115.4"/>
    <d v="2025-05-14T00:00:00"/>
    <x v="0"/>
    <n v="215"/>
    <x v="5"/>
  </r>
  <r>
    <n v="1335"/>
    <x v="1"/>
    <n v="0"/>
    <n v="258.45999999999998"/>
    <d v="2025-04-24T00:00:00"/>
    <x v="1"/>
    <n v="999"/>
    <x v="1"/>
  </r>
  <r>
    <n v="1336"/>
    <x v="0"/>
    <n v="0"/>
    <n v="184.47"/>
    <d v="2025-04-04T00:00:00"/>
    <x v="1"/>
    <n v="557"/>
    <x v="3"/>
  </r>
  <r>
    <n v="1337"/>
    <x v="1"/>
    <n v="1"/>
    <n v="352.02"/>
    <d v="2025-05-18T00:00:00"/>
    <x v="0"/>
    <n v="943"/>
    <x v="4"/>
  </r>
  <r>
    <n v="1339"/>
    <x v="1"/>
    <n v="0"/>
    <n v="121.01"/>
    <d v="2025-04-23T00:00:00"/>
    <x v="1"/>
    <n v="796"/>
    <x v="5"/>
  </r>
  <r>
    <n v="1342"/>
    <x v="0"/>
    <n v="0"/>
    <n v="469.26"/>
    <d v="2025-05-23T00:00:00"/>
    <x v="0"/>
    <n v="990"/>
    <x v="3"/>
  </r>
  <r>
    <n v="1343"/>
    <x v="0"/>
    <n v="0"/>
    <n v="352.5"/>
    <d v="2025-05-28T00:00:00"/>
    <x v="0"/>
    <n v="767"/>
    <x v="5"/>
  </r>
  <r>
    <n v="1344"/>
    <x v="1"/>
    <n v="0"/>
    <n v="179.43"/>
    <d v="2025-04-21T00:00:00"/>
    <x v="1"/>
    <n v="857"/>
    <x v="1"/>
  </r>
  <r>
    <n v="1348"/>
    <x v="0"/>
    <n v="0"/>
    <n v="451.03"/>
    <d v="2025-05-20T00:00:00"/>
    <x v="0"/>
    <n v="473"/>
    <x v="0"/>
  </r>
  <r>
    <n v="1349"/>
    <x v="0"/>
    <n v="0"/>
    <n v="173.5"/>
    <d v="2025-05-27T00:00:00"/>
    <x v="0"/>
    <n v="37"/>
    <x v="5"/>
  </r>
  <r>
    <n v="135"/>
    <x v="0"/>
    <n v="0"/>
    <n v="702.11"/>
    <d v="2025-05-15T00:00:00"/>
    <x v="0"/>
    <n v="607"/>
    <x v="0"/>
  </r>
  <r>
    <n v="1352"/>
    <x v="1"/>
    <n v="0"/>
    <n v="419.08"/>
    <d v="2025-05-22T00:00:00"/>
    <x v="0"/>
    <n v="574"/>
    <x v="4"/>
  </r>
  <r>
    <n v="136"/>
    <x v="0"/>
    <n v="0"/>
    <n v="357.39"/>
    <d v="2025-06-14T00:00:00"/>
    <x v="2"/>
    <n v="206"/>
    <x v="3"/>
  </r>
  <r>
    <n v="138"/>
    <x v="0"/>
    <n v="0"/>
    <n v="406.4"/>
    <d v="2025-06-14T00:00:00"/>
    <x v="2"/>
    <n v="106"/>
    <x v="1"/>
  </r>
  <r>
    <n v="139"/>
    <x v="1"/>
    <n v="0"/>
    <n v="631.08000000000004"/>
    <d v="2025-05-21T00:00:00"/>
    <x v="0"/>
    <n v="473"/>
    <x v="0"/>
  </r>
  <r>
    <n v="141"/>
    <x v="0"/>
    <n v="0"/>
    <n v="617.09"/>
    <d v="2025-06-15T00:00:00"/>
    <x v="2"/>
    <n v="861"/>
    <x v="2"/>
  </r>
  <r>
    <n v="142"/>
    <x v="0"/>
    <n v="0"/>
    <n v="410.77"/>
    <d v="2025-05-25T00:00:00"/>
    <x v="0"/>
    <n v="151"/>
    <x v="3"/>
  </r>
  <r>
    <n v="143"/>
    <x v="0"/>
    <n v="0"/>
    <n v="324.41000000000003"/>
    <d v="2025-06-16T00:00:00"/>
    <x v="2"/>
    <n v="956"/>
    <x v="2"/>
  </r>
  <r>
    <n v="144"/>
    <x v="1"/>
    <n v="0"/>
    <n v="296.58999999999997"/>
    <d v="2025-04-20T00:00:00"/>
    <x v="1"/>
    <n v="961"/>
    <x v="1"/>
  </r>
  <r>
    <n v="145"/>
    <x v="0"/>
    <n v="0"/>
    <n v="391.58"/>
    <d v="2025-05-20T00:00:00"/>
    <x v="0"/>
    <n v="135"/>
    <x v="0"/>
  </r>
  <r>
    <n v="146"/>
    <x v="0"/>
    <n v="0"/>
    <n v="310.87"/>
    <d v="2025-04-15T00:00:00"/>
    <x v="1"/>
    <n v="420"/>
    <x v="1"/>
  </r>
  <r>
    <n v="147"/>
    <x v="0"/>
    <n v="0"/>
    <n v="336.73"/>
    <d v="2025-05-17T00:00:00"/>
    <x v="0"/>
    <n v="386"/>
    <x v="0"/>
  </r>
  <r>
    <n v="15"/>
    <x v="0"/>
    <n v="0"/>
    <n v="421.64"/>
    <d v="2025-05-20T00:00:00"/>
    <x v="0"/>
    <n v="33"/>
    <x v="4"/>
  </r>
  <r>
    <n v="151"/>
    <x v="0"/>
    <n v="0"/>
    <n v="396.18"/>
    <d v="2025-04-14T00:00:00"/>
    <x v="1"/>
    <n v="818"/>
    <x v="0"/>
  </r>
  <r>
    <n v="152"/>
    <x v="1"/>
    <n v="0"/>
    <n v="422.84"/>
    <d v="2025-04-05T00:00:00"/>
    <x v="1"/>
    <n v="759"/>
    <x v="0"/>
  </r>
  <r>
    <n v="154"/>
    <x v="0"/>
    <n v="0"/>
    <n v="448.34"/>
    <d v="2025-04-22T00:00:00"/>
    <x v="1"/>
    <n v="551"/>
    <x v="0"/>
  </r>
  <r>
    <n v="155"/>
    <x v="0"/>
    <n v="1"/>
    <n v="336.34"/>
    <d v="2025-04-06T00:00:00"/>
    <x v="1"/>
    <n v="516"/>
    <x v="1"/>
  </r>
  <r>
    <n v="156"/>
    <x v="0"/>
    <n v="0"/>
    <n v="364.16"/>
    <d v="2025-05-24T00:00:00"/>
    <x v="0"/>
    <n v="819"/>
    <x v="4"/>
  </r>
  <r>
    <n v="158"/>
    <x v="0"/>
    <n v="0"/>
    <n v="393.98"/>
    <d v="2025-04-13T00:00:00"/>
    <x v="1"/>
    <n v="813"/>
    <x v="1"/>
  </r>
  <r>
    <n v="160"/>
    <x v="1"/>
    <n v="0"/>
    <n v="663.69"/>
    <d v="2025-04-25T00:00:00"/>
    <x v="1"/>
    <n v="1"/>
    <x v="0"/>
  </r>
  <r>
    <n v="161"/>
    <x v="1"/>
    <n v="0"/>
    <n v="608.66999999999996"/>
    <d v="2025-04-26T00:00:00"/>
    <x v="1"/>
    <n v="703"/>
    <x v="1"/>
  </r>
  <r>
    <n v="163"/>
    <x v="1"/>
    <n v="0"/>
    <n v="622.17999999999995"/>
    <d v="2025-05-20T00:00:00"/>
    <x v="0"/>
    <n v="283"/>
    <x v="0"/>
  </r>
  <r>
    <n v="164"/>
    <x v="1"/>
    <n v="0"/>
    <n v="604.53"/>
    <d v="2025-04-17T00:00:00"/>
    <x v="1"/>
    <n v="442"/>
    <x v="1"/>
  </r>
  <r>
    <n v="165"/>
    <x v="0"/>
    <n v="0"/>
    <n v="308.72000000000003"/>
    <d v="2025-05-28T00:00:00"/>
    <x v="0"/>
    <n v="748"/>
    <x v="5"/>
  </r>
  <r>
    <n v="166"/>
    <x v="0"/>
    <n v="0"/>
    <n v="517.88"/>
    <d v="2025-06-05T00:00:00"/>
    <x v="2"/>
    <n v="354"/>
    <x v="1"/>
  </r>
  <r>
    <n v="167"/>
    <x v="0"/>
    <n v="0"/>
    <n v="632.5"/>
    <d v="2025-05-18T00:00:00"/>
    <x v="0"/>
    <n v="277"/>
    <x v="4"/>
  </r>
  <r>
    <n v="168"/>
    <x v="1"/>
    <n v="0"/>
    <n v="482.74"/>
    <d v="2025-04-04T00:00:00"/>
    <x v="1"/>
    <n v="896"/>
    <x v="2"/>
  </r>
  <r>
    <n v="17"/>
    <x v="0"/>
    <n v="0"/>
    <n v="515.1"/>
    <d v="2025-04-29T00:00:00"/>
    <x v="1"/>
    <n v="516"/>
    <x v="1"/>
  </r>
  <r>
    <n v="171"/>
    <x v="0"/>
    <n v="0"/>
    <n v="564.16999999999996"/>
    <d v="2025-04-15T00:00:00"/>
    <x v="1"/>
    <n v="158"/>
    <x v="5"/>
  </r>
  <r>
    <n v="172"/>
    <x v="1"/>
    <n v="1"/>
    <n v="178.2"/>
    <d v="2025-05-13T00:00:00"/>
    <x v="0"/>
    <n v="398"/>
    <x v="3"/>
  </r>
  <r>
    <n v="173"/>
    <x v="0"/>
    <n v="0"/>
    <n v="535.45000000000005"/>
    <d v="2025-05-15T00:00:00"/>
    <x v="0"/>
    <n v="279"/>
    <x v="0"/>
  </r>
  <r>
    <n v="175"/>
    <x v="1"/>
    <n v="0"/>
    <n v="339.82"/>
    <d v="2025-04-18T00:00:00"/>
    <x v="1"/>
    <n v="113"/>
    <x v="1"/>
  </r>
  <r>
    <n v="179"/>
    <x v="1"/>
    <n v="0"/>
    <n v="525.72"/>
    <d v="2025-05-29T00:00:00"/>
    <x v="0"/>
    <n v="663"/>
    <x v="5"/>
  </r>
  <r>
    <n v="180"/>
    <x v="1"/>
    <n v="0"/>
    <n v="190.08"/>
    <d v="2025-06-13T00:00:00"/>
    <x v="2"/>
    <n v="641"/>
    <x v="3"/>
  </r>
  <r>
    <n v="181"/>
    <x v="1"/>
    <n v="0"/>
    <n v="659.3"/>
    <d v="2025-05-06T00:00:00"/>
    <x v="0"/>
    <n v="252"/>
    <x v="4"/>
  </r>
  <r>
    <n v="183"/>
    <x v="0"/>
    <n v="0"/>
    <n v="161.43"/>
    <d v="2025-05-16T00:00:00"/>
    <x v="0"/>
    <n v="871"/>
    <x v="5"/>
  </r>
  <r>
    <n v="184"/>
    <x v="0"/>
    <n v="0"/>
    <n v="403.3"/>
    <d v="2025-04-18T00:00:00"/>
    <x v="1"/>
    <n v="192"/>
    <x v="3"/>
  </r>
  <r>
    <n v="188"/>
    <x v="0"/>
    <n v="0"/>
    <n v="530.73"/>
    <d v="2025-04-05T00:00:00"/>
    <x v="1"/>
    <n v="192"/>
    <x v="3"/>
  </r>
  <r>
    <n v="189"/>
    <x v="0"/>
    <n v="0"/>
    <n v="371.17"/>
    <d v="2025-04-25T00:00:00"/>
    <x v="1"/>
    <n v="684"/>
    <x v="5"/>
  </r>
  <r>
    <n v="190"/>
    <x v="1"/>
    <n v="0"/>
    <n v="291.5"/>
    <d v="2025-06-17T00:00:00"/>
    <x v="2"/>
    <n v="247"/>
    <x v="5"/>
  </r>
  <r>
    <n v="191"/>
    <x v="1"/>
    <n v="0"/>
    <n v="381.4"/>
    <d v="2025-05-23T00:00:00"/>
    <x v="0"/>
    <n v="367"/>
    <x v="5"/>
  </r>
  <r>
    <n v="193"/>
    <x v="0"/>
    <n v="0"/>
    <n v="433.24"/>
    <d v="2025-05-18T00:00:00"/>
    <x v="0"/>
    <n v="92"/>
    <x v="4"/>
  </r>
  <r>
    <n v="195"/>
    <x v="1"/>
    <n v="0"/>
    <n v="699.78"/>
    <d v="2025-05-20T00:00:00"/>
    <x v="0"/>
    <n v="220"/>
    <x v="1"/>
  </r>
  <r>
    <n v="198"/>
    <x v="1"/>
    <n v="0"/>
    <n v="458.63"/>
    <d v="2025-04-23T00:00:00"/>
    <x v="1"/>
    <n v="302"/>
    <x v="1"/>
  </r>
  <r>
    <n v="199"/>
    <x v="1"/>
    <n v="1"/>
    <n v="155.22999999999999"/>
    <d v="2025-05-19T00:00:00"/>
    <x v="0"/>
    <n v="929"/>
    <x v="5"/>
  </r>
  <r>
    <n v="2"/>
    <x v="0"/>
    <n v="0"/>
    <n v="357.54"/>
    <d v="2025-05-16T00:00:00"/>
    <x v="0"/>
    <n v="41"/>
    <x v="1"/>
  </r>
  <r>
    <n v="20"/>
    <x v="0"/>
    <n v="0"/>
    <n v="665.8"/>
    <d v="2025-04-04T00:00:00"/>
    <x v="1"/>
    <n v="638"/>
    <x v="0"/>
  </r>
  <r>
    <n v="200"/>
    <x v="1"/>
    <n v="0"/>
    <n v="317.70999999999998"/>
    <d v="2025-04-05T00:00:00"/>
    <x v="1"/>
    <n v="162"/>
    <x v="1"/>
  </r>
  <r>
    <n v="201"/>
    <x v="1"/>
    <n v="0"/>
    <n v="492.32"/>
    <d v="2025-05-27T00:00:00"/>
    <x v="0"/>
    <n v="675"/>
    <x v="4"/>
  </r>
  <r>
    <n v="202"/>
    <x v="1"/>
    <n v="0"/>
    <n v="516.82000000000005"/>
    <d v="2025-05-28T00:00:00"/>
    <x v="0"/>
    <n v="972"/>
    <x v="0"/>
  </r>
  <r>
    <n v="204"/>
    <x v="0"/>
    <n v="0"/>
    <n v="206.76"/>
    <d v="2025-06-05T00:00:00"/>
    <x v="2"/>
    <n v="163"/>
    <x v="4"/>
  </r>
  <r>
    <n v="207"/>
    <x v="0"/>
    <n v="0"/>
    <n v="438.51"/>
    <d v="2025-05-15T00:00:00"/>
    <x v="0"/>
    <n v="884"/>
    <x v="3"/>
  </r>
  <r>
    <n v="209"/>
    <x v="1"/>
    <n v="0"/>
    <n v="343.05"/>
    <d v="2025-05-31T00:00:00"/>
    <x v="0"/>
    <n v="436"/>
    <x v="1"/>
  </r>
  <r>
    <n v="21"/>
    <x v="0"/>
    <n v="0"/>
    <n v="538.23"/>
    <d v="2025-06-14T00:00:00"/>
    <x v="2"/>
    <n v="685"/>
    <x v="3"/>
  </r>
  <r>
    <n v="210"/>
    <x v="0"/>
    <n v="0"/>
    <n v="598.88"/>
    <d v="2025-05-22T00:00:00"/>
    <x v="0"/>
    <n v="392"/>
    <x v="5"/>
  </r>
  <r>
    <n v="211"/>
    <x v="0"/>
    <n v="1"/>
    <n v="490.53"/>
    <d v="2025-05-06T00:00:00"/>
    <x v="0"/>
    <n v="676"/>
    <x v="2"/>
  </r>
  <r>
    <n v="212"/>
    <x v="1"/>
    <n v="0"/>
    <n v="300.97000000000003"/>
    <d v="2025-05-05T00:00:00"/>
    <x v="0"/>
    <n v="302"/>
    <x v="1"/>
  </r>
  <r>
    <n v="214"/>
    <x v="1"/>
    <n v="0"/>
    <n v="583.41999999999996"/>
    <d v="2025-04-28T00:00:00"/>
    <x v="1"/>
    <n v="572"/>
    <x v="5"/>
  </r>
  <r>
    <n v="215"/>
    <x v="0"/>
    <n v="1"/>
    <n v="399.74"/>
    <d v="2025-04-06T00:00:00"/>
    <x v="1"/>
    <n v="691"/>
    <x v="4"/>
  </r>
  <r>
    <n v="216"/>
    <x v="0"/>
    <n v="0"/>
    <n v="238.58"/>
    <d v="2025-05-22T00:00:00"/>
    <x v="0"/>
    <n v="968"/>
    <x v="4"/>
  </r>
  <r>
    <n v="217"/>
    <x v="0"/>
    <n v="0"/>
    <n v="410.95"/>
    <d v="2025-06-04T00:00:00"/>
    <x v="2"/>
    <n v="646"/>
    <x v="3"/>
  </r>
  <r>
    <n v="220"/>
    <x v="0"/>
    <n v="0"/>
    <n v="525.54999999999995"/>
    <d v="2025-04-18T00:00:00"/>
    <x v="1"/>
    <n v="566"/>
    <x v="4"/>
  </r>
  <r>
    <n v="221"/>
    <x v="0"/>
    <n v="0"/>
    <n v="466.16"/>
    <d v="2025-05-16T00:00:00"/>
    <x v="0"/>
    <n v="107"/>
    <x v="1"/>
  </r>
  <r>
    <n v="222"/>
    <x v="1"/>
    <n v="0"/>
    <n v="349.66"/>
    <d v="2025-05-21T00:00:00"/>
    <x v="0"/>
    <n v="288"/>
    <x v="4"/>
  </r>
  <r>
    <n v="224"/>
    <x v="1"/>
    <n v="0"/>
    <n v="607.94000000000005"/>
    <d v="2025-04-25T00:00:00"/>
    <x v="1"/>
    <n v="773"/>
    <x v="3"/>
  </r>
  <r>
    <n v="225"/>
    <x v="1"/>
    <n v="0"/>
    <n v="540.02"/>
    <d v="2025-05-20T00:00:00"/>
    <x v="0"/>
    <n v="806"/>
    <x v="4"/>
  </r>
  <r>
    <n v="226"/>
    <x v="1"/>
    <n v="0"/>
    <n v="401.31"/>
    <d v="2025-04-23T00:00:00"/>
    <x v="1"/>
    <n v="575"/>
    <x v="5"/>
  </r>
  <r>
    <n v="229"/>
    <x v="0"/>
    <n v="0"/>
    <n v="543.16999999999996"/>
    <d v="2025-06-16T00:00:00"/>
    <x v="2"/>
    <n v="699"/>
    <x v="5"/>
  </r>
  <r>
    <n v="23"/>
    <x v="1"/>
    <n v="0"/>
    <n v="457.32"/>
    <d v="2025-04-28T00:00:00"/>
    <x v="1"/>
    <n v="987"/>
    <x v="2"/>
  </r>
  <r>
    <n v="230"/>
    <x v="1"/>
    <n v="0"/>
    <n v="404.19"/>
    <d v="2025-04-21T00:00:00"/>
    <x v="1"/>
    <n v="428"/>
    <x v="3"/>
  </r>
  <r>
    <n v="231"/>
    <x v="0"/>
    <n v="0"/>
    <n v="385.35"/>
    <d v="2025-04-24T00:00:00"/>
    <x v="1"/>
    <n v="453"/>
    <x v="0"/>
  </r>
  <r>
    <n v="232"/>
    <x v="1"/>
    <n v="0"/>
    <n v="561.54999999999995"/>
    <d v="2025-05-30T00:00:00"/>
    <x v="0"/>
    <n v="285"/>
    <x v="0"/>
  </r>
  <r>
    <n v="233"/>
    <x v="0"/>
    <n v="0"/>
    <n v="374.24"/>
    <d v="2025-04-28T00:00:00"/>
    <x v="1"/>
    <n v="499"/>
    <x v="0"/>
  </r>
  <r>
    <n v="234"/>
    <x v="1"/>
    <n v="0"/>
    <n v="533.21"/>
    <d v="2025-05-20T00:00:00"/>
    <x v="0"/>
    <n v="198"/>
    <x v="1"/>
  </r>
  <r>
    <n v="235"/>
    <x v="0"/>
    <n v="0"/>
    <n v="266.42"/>
    <d v="2025-06-04T00:00:00"/>
    <x v="2"/>
    <n v="411"/>
    <x v="1"/>
  </r>
  <r>
    <n v="237"/>
    <x v="0"/>
    <n v="0"/>
    <n v="465.41"/>
    <d v="2025-05-16T00:00:00"/>
    <x v="0"/>
    <n v="167"/>
    <x v="0"/>
  </r>
  <r>
    <n v="238"/>
    <x v="0"/>
    <n v="0"/>
    <n v="378.22"/>
    <d v="2025-05-19T00:00:00"/>
    <x v="0"/>
    <n v="958"/>
    <x v="1"/>
  </r>
  <r>
    <n v="239"/>
    <x v="0"/>
    <n v="0"/>
    <n v="710.55"/>
    <d v="2025-04-20T00:00:00"/>
    <x v="1"/>
    <n v="2"/>
    <x v="0"/>
  </r>
  <r>
    <n v="24"/>
    <x v="1"/>
    <n v="1"/>
    <n v="173.28"/>
    <d v="2025-05-13T00:00:00"/>
    <x v="0"/>
    <n v="750"/>
    <x v="3"/>
  </r>
  <r>
    <n v="240"/>
    <x v="1"/>
    <n v="0"/>
    <n v="757.22"/>
    <d v="2025-05-31T00:00:00"/>
    <x v="0"/>
    <n v="270"/>
    <x v="1"/>
  </r>
  <r>
    <n v="241"/>
    <x v="1"/>
    <n v="0"/>
    <n v="411.47"/>
    <d v="2025-06-06T00:00:00"/>
    <x v="2"/>
    <n v="725"/>
    <x v="3"/>
  </r>
  <r>
    <n v="242"/>
    <x v="1"/>
    <n v="0"/>
    <n v="593.44000000000005"/>
    <d v="2025-05-23T00:00:00"/>
    <x v="0"/>
    <n v="106"/>
    <x v="1"/>
  </r>
  <r>
    <n v="245"/>
    <x v="0"/>
    <n v="0"/>
    <n v="221.6"/>
    <d v="2025-05-29T00:00:00"/>
    <x v="0"/>
    <n v="673"/>
    <x v="1"/>
  </r>
  <r>
    <n v="247"/>
    <x v="1"/>
    <n v="0"/>
    <n v="288.20999999999998"/>
    <d v="2025-04-04T00:00:00"/>
    <x v="1"/>
    <n v="672"/>
    <x v="1"/>
  </r>
  <r>
    <n v="248"/>
    <x v="1"/>
    <n v="0"/>
    <n v="478.04"/>
    <d v="2025-04-23T00:00:00"/>
    <x v="1"/>
    <n v="99"/>
    <x v="3"/>
  </r>
  <r>
    <n v="250"/>
    <x v="1"/>
    <n v="0"/>
    <n v="581.85"/>
    <d v="2025-06-16T00:00:00"/>
    <x v="2"/>
    <n v="49"/>
    <x v="5"/>
  </r>
  <r>
    <n v="251"/>
    <x v="0"/>
    <n v="1"/>
    <n v="318.33999999999997"/>
    <d v="2025-04-06T00:00:00"/>
    <x v="1"/>
    <n v="996"/>
    <x v="1"/>
  </r>
  <r>
    <n v="252"/>
    <x v="1"/>
    <n v="0"/>
    <n v="336.11"/>
    <d v="2025-04-18T00:00:00"/>
    <x v="1"/>
    <n v="836"/>
    <x v="1"/>
  </r>
  <r>
    <n v="253"/>
    <x v="1"/>
    <n v="0"/>
    <n v="422.76"/>
    <d v="2025-04-27T00:00:00"/>
    <x v="1"/>
    <n v="233"/>
    <x v="0"/>
  </r>
  <r>
    <n v="255"/>
    <x v="0"/>
    <n v="0"/>
    <n v="187.46"/>
    <d v="2025-04-30T00:00:00"/>
    <x v="1"/>
    <n v="509"/>
    <x v="5"/>
  </r>
  <r>
    <n v="256"/>
    <x v="0"/>
    <n v="0"/>
    <n v="432.34"/>
    <d v="2025-05-21T00:00:00"/>
    <x v="0"/>
    <n v="881"/>
    <x v="2"/>
  </r>
  <r>
    <n v="258"/>
    <x v="0"/>
    <n v="0"/>
    <n v="439.49"/>
    <d v="2025-05-29T00:00:00"/>
    <x v="0"/>
    <n v="94"/>
    <x v="0"/>
  </r>
  <r>
    <n v="259"/>
    <x v="1"/>
    <n v="1"/>
    <n v="296.87"/>
    <d v="2025-05-19T00:00:00"/>
    <x v="0"/>
    <n v="48"/>
    <x v="1"/>
  </r>
  <r>
    <n v="260"/>
    <x v="0"/>
    <n v="0"/>
    <n v="528.34"/>
    <d v="2025-05-14T00:00:00"/>
    <x v="0"/>
    <n v="41"/>
    <x v="1"/>
  </r>
  <r>
    <n v="262"/>
    <x v="1"/>
    <n v="0"/>
    <n v="480.78"/>
    <d v="2025-04-29T00:00:00"/>
    <x v="1"/>
    <n v="28"/>
    <x v="3"/>
  </r>
  <r>
    <n v="264"/>
    <x v="1"/>
    <n v="0"/>
    <n v="253.51"/>
    <d v="2025-05-31T00:00:00"/>
    <x v="0"/>
    <n v="131"/>
    <x v="1"/>
  </r>
  <r>
    <n v="265"/>
    <x v="1"/>
    <n v="0"/>
    <n v="307.83"/>
    <d v="2025-05-26T00:00:00"/>
    <x v="0"/>
    <n v="346"/>
    <x v="4"/>
  </r>
  <r>
    <n v="269"/>
    <x v="1"/>
    <n v="0"/>
    <n v="503.93"/>
    <d v="2025-05-24T00:00:00"/>
    <x v="0"/>
    <n v="298"/>
    <x v="1"/>
  </r>
  <r>
    <n v="272"/>
    <x v="1"/>
    <n v="0"/>
    <n v="487.95"/>
    <d v="2025-05-05T00:00:00"/>
    <x v="0"/>
    <n v="718"/>
    <x v="4"/>
  </r>
  <r>
    <n v="273"/>
    <x v="1"/>
    <n v="0"/>
    <n v="489.56"/>
    <d v="2025-06-16T00:00:00"/>
    <x v="2"/>
    <n v="682"/>
    <x v="2"/>
  </r>
  <r>
    <n v="274"/>
    <x v="0"/>
    <n v="0"/>
    <n v="157.15"/>
    <d v="2025-04-19T00:00:00"/>
    <x v="1"/>
    <n v="349"/>
    <x v="1"/>
  </r>
  <r>
    <n v="275"/>
    <x v="1"/>
    <n v="0"/>
    <n v="391.32"/>
    <d v="2025-04-18T00:00:00"/>
    <x v="1"/>
    <n v="58"/>
    <x v="1"/>
  </r>
  <r>
    <n v="276"/>
    <x v="1"/>
    <n v="0"/>
    <n v="395.94"/>
    <d v="2025-06-04T00:00:00"/>
    <x v="2"/>
    <n v="420"/>
    <x v="1"/>
  </r>
  <r>
    <n v="277"/>
    <x v="0"/>
    <n v="0"/>
    <n v="534.45000000000005"/>
    <d v="2025-05-26T00:00:00"/>
    <x v="0"/>
    <n v="791"/>
    <x v="2"/>
  </r>
  <r>
    <n v="278"/>
    <x v="1"/>
    <n v="0"/>
    <n v="295.83"/>
    <d v="2025-06-13T00:00:00"/>
    <x v="2"/>
    <n v="626"/>
    <x v="4"/>
  </r>
  <r>
    <n v="279"/>
    <x v="0"/>
    <n v="0"/>
    <n v="330.38"/>
    <d v="2025-06-16T00:00:00"/>
    <x v="2"/>
    <n v="852"/>
    <x v="2"/>
  </r>
  <r>
    <n v="281"/>
    <x v="1"/>
    <n v="1"/>
    <n v="375.37"/>
    <d v="2025-05-17T00:00:00"/>
    <x v="0"/>
    <n v="730"/>
    <x v="3"/>
  </r>
  <r>
    <n v="282"/>
    <x v="1"/>
    <n v="0"/>
    <n v="391.74"/>
    <d v="2025-05-26T00:00:00"/>
    <x v="0"/>
    <n v="736"/>
    <x v="1"/>
  </r>
  <r>
    <n v="284"/>
    <x v="1"/>
    <n v="0"/>
    <n v="362.54"/>
    <d v="2025-04-29T00:00:00"/>
    <x v="1"/>
    <n v="880"/>
    <x v="2"/>
  </r>
  <r>
    <n v="285"/>
    <x v="1"/>
    <n v="0"/>
    <n v="448.77"/>
    <d v="2025-05-29T00:00:00"/>
    <x v="0"/>
    <n v="415"/>
    <x v="0"/>
  </r>
  <r>
    <n v="286"/>
    <x v="1"/>
    <n v="1"/>
    <n v="348.33"/>
    <d v="2025-05-18T00:00:00"/>
    <x v="0"/>
    <n v="184"/>
    <x v="0"/>
  </r>
  <r>
    <n v="287"/>
    <x v="0"/>
    <n v="0"/>
    <n v="578.5"/>
    <d v="2025-05-15T00:00:00"/>
    <x v="0"/>
    <n v="556"/>
    <x v="4"/>
  </r>
  <r>
    <n v="288"/>
    <x v="1"/>
    <n v="0"/>
    <n v="732.73"/>
    <d v="2025-04-05T00:00:00"/>
    <x v="1"/>
    <n v="750"/>
    <x v="3"/>
  </r>
  <r>
    <n v="289"/>
    <x v="1"/>
    <n v="1"/>
    <n v="268.8"/>
    <d v="2025-05-18T00:00:00"/>
    <x v="0"/>
    <n v="190"/>
    <x v="4"/>
  </r>
  <r>
    <n v="29"/>
    <x v="1"/>
    <n v="0"/>
    <n v="445.12"/>
    <d v="2025-04-25T00:00:00"/>
    <x v="1"/>
    <n v="208"/>
    <x v="0"/>
  </r>
  <r>
    <n v="291"/>
    <x v="0"/>
    <n v="0"/>
    <n v="696.69"/>
    <d v="2025-04-30T00:00:00"/>
    <x v="1"/>
    <n v="379"/>
    <x v="1"/>
  </r>
  <r>
    <n v="292"/>
    <x v="1"/>
    <n v="0"/>
    <n v="317.3"/>
    <d v="2025-04-30T00:00:00"/>
    <x v="1"/>
    <n v="103"/>
    <x v="0"/>
  </r>
  <r>
    <n v="293"/>
    <x v="0"/>
    <n v="0"/>
    <n v="391.81"/>
    <d v="2025-04-05T00:00:00"/>
    <x v="1"/>
    <n v="373"/>
    <x v="3"/>
  </r>
  <r>
    <n v="294"/>
    <x v="0"/>
    <n v="0"/>
    <n v="290.39"/>
    <d v="2025-06-17T00:00:00"/>
    <x v="2"/>
    <n v="489"/>
    <x v="1"/>
  </r>
  <r>
    <n v="295"/>
    <x v="1"/>
    <n v="1"/>
    <n v="408.14"/>
    <d v="2025-05-13T00:00:00"/>
    <x v="0"/>
    <n v="720"/>
    <x v="3"/>
  </r>
  <r>
    <n v="297"/>
    <x v="1"/>
    <n v="1"/>
    <n v="275.27"/>
    <d v="2025-05-17T00:00:00"/>
    <x v="0"/>
    <n v="235"/>
    <x v="4"/>
  </r>
  <r>
    <n v="298"/>
    <x v="0"/>
    <n v="0"/>
    <n v="376.14"/>
    <d v="2025-05-18T00:00:00"/>
    <x v="0"/>
    <n v="401"/>
    <x v="0"/>
  </r>
  <r>
    <n v="299"/>
    <x v="1"/>
    <n v="1"/>
    <n v="489.11"/>
    <d v="2025-05-13T00:00:00"/>
    <x v="0"/>
    <n v="403"/>
    <x v="1"/>
  </r>
  <r>
    <n v="3"/>
    <x v="1"/>
    <n v="0"/>
    <n v="337.56"/>
    <d v="2025-04-22T00:00:00"/>
    <x v="1"/>
    <n v="139"/>
    <x v="1"/>
  </r>
  <r>
    <n v="301"/>
    <x v="1"/>
    <n v="1"/>
    <n v="241.1"/>
    <d v="2025-05-17T00:00:00"/>
    <x v="0"/>
    <n v="825"/>
    <x v="5"/>
  </r>
  <r>
    <n v="303"/>
    <x v="1"/>
    <n v="0"/>
    <n v="635.02"/>
    <d v="2025-05-06T00:00:00"/>
    <x v="0"/>
    <n v="396"/>
    <x v="5"/>
  </r>
  <r>
    <n v="305"/>
    <x v="0"/>
    <n v="0"/>
    <n v="541.03"/>
    <d v="2025-04-28T00:00:00"/>
    <x v="1"/>
    <n v="878"/>
    <x v="1"/>
  </r>
  <r>
    <n v="306"/>
    <x v="0"/>
    <n v="0"/>
    <n v="257.31"/>
    <d v="2025-04-26T00:00:00"/>
    <x v="1"/>
    <n v="566"/>
    <x v="4"/>
  </r>
  <r>
    <n v="307"/>
    <x v="0"/>
    <n v="0"/>
    <n v="332"/>
    <d v="2025-05-21T00:00:00"/>
    <x v="0"/>
    <n v="567"/>
    <x v="5"/>
  </r>
  <r>
    <n v="309"/>
    <x v="1"/>
    <n v="0"/>
    <n v="414.75"/>
    <d v="2025-05-25T00:00:00"/>
    <x v="0"/>
    <n v="365"/>
    <x v="0"/>
  </r>
  <r>
    <n v="31"/>
    <x v="1"/>
    <n v="0"/>
    <n v="292.77999999999997"/>
    <d v="2025-05-20T00:00:00"/>
    <x v="0"/>
    <n v="776"/>
    <x v="2"/>
  </r>
  <r>
    <n v="310"/>
    <x v="0"/>
    <n v="0"/>
    <n v="503.83"/>
    <d v="2025-04-18T00:00:00"/>
    <x v="1"/>
    <n v="726"/>
    <x v="1"/>
  </r>
  <r>
    <n v="312"/>
    <x v="0"/>
    <n v="0"/>
    <n v="509.07"/>
    <d v="2025-05-31T00:00:00"/>
    <x v="0"/>
    <n v="72"/>
    <x v="3"/>
  </r>
  <r>
    <n v="313"/>
    <x v="1"/>
    <n v="0"/>
    <n v="712.86"/>
    <d v="2025-06-06T00:00:00"/>
    <x v="2"/>
    <n v="271"/>
    <x v="1"/>
  </r>
  <r>
    <n v="314"/>
    <x v="0"/>
    <n v="0"/>
    <n v="446.09"/>
    <d v="2025-05-18T00:00:00"/>
    <x v="0"/>
    <n v="377"/>
    <x v="3"/>
  </r>
  <r>
    <n v="318"/>
    <x v="0"/>
    <n v="0"/>
    <n v="376.3"/>
    <d v="2025-04-17T00:00:00"/>
    <x v="1"/>
    <n v="681"/>
    <x v="1"/>
  </r>
  <r>
    <n v="319"/>
    <x v="1"/>
    <n v="0"/>
    <n v="431.38"/>
    <d v="2025-05-31T00:00:00"/>
    <x v="0"/>
    <n v="728"/>
    <x v="5"/>
  </r>
  <r>
    <n v="32"/>
    <x v="1"/>
    <n v="0"/>
    <n v="540.69000000000005"/>
    <d v="2025-04-21T00:00:00"/>
    <x v="1"/>
    <n v="982"/>
    <x v="4"/>
  </r>
  <r>
    <n v="321"/>
    <x v="1"/>
    <n v="0"/>
    <n v="465.62"/>
    <d v="2025-05-31T00:00:00"/>
    <x v="0"/>
    <n v="779"/>
    <x v="5"/>
  </r>
  <r>
    <n v="323"/>
    <x v="0"/>
    <n v="0"/>
    <n v="265.56"/>
    <d v="2025-06-05T00:00:00"/>
    <x v="2"/>
    <n v="512"/>
    <x v="1"/>
  </r>
  <r>
    <n v="326"/>
    <x v="0"/>
    <n v="0"/>
    <n v="666.64"/>
    <d v="2025-04-19T00:00:00"/>
    <x v="1"/>
    <n v="472"/>
    <x v="0"/>
  </r>
  <r>
    <n v="328"/>
    <x v="0"/>
    <n v="0"/>
    <n v="218.19"/>
    <d v="2025-05-13T00:00:00"/>
    <x v="0"/>
    <n v="316"/>
    <x v="0"/>
  </r>
  <r>
    <n v="329"/>
    <x v="0"/>
    <n v="0"/>
    <n v="605.24"/>
    <d v="2025-04-04T00:00:00"/>
    <x v="1"/>
    <n v="388"/>
    <x v="0"/>
  </r>
  <r>
    <n v="33"/>
    <x v="0"/>
    <n v="0"/>
    <n v="227.32"/>
    <d v="2025-04-23T00:00:00"/>
    <x v="1"/>
    <n v="805"/>
    <x v="1"/>
  </r>
  <r>
    <n v="330"/>
    <x v="0"/>
    <n v="0"/>
    <n v="558.38"/>
    <d v="2025-04-24T00:00:00"/>
    <x v="1"/>
    <n v="920"/>
    <x v="3"/>
  </r>
  <r>
    <n v="331"/>
    <x v="1"/>
    <n v="0"/>
    <n v="263.87"/>
    <d v="2025-06-05T00:00:00"/>
    <x v="2"/>
    <n v="100"/>
    <x v="4"/>
  </r>
  <r>
    <n v="332"/>
    <x v="1"/>
    <n v="0"/>
    <n v="380.25"/>
    <d v="2025-05-24T00:00:00"/>
    <x v="0"/>
    <n v="932"/>
    <x v="0"/>
  </r>
  <r>
    <n v="333"/>
    <x v="0"/>
    <n v="0"/>
    <n v="427.6"/>
    <d v="2025-05-22T00:00:00"/>
    <x v="0"/>
    <n v="842"/>
    <x v="4"/>
  </r>
  <r>
    <n v="334"/>
    <x v="1"/>
    <n v="0"/>
    <n v="496.23"/>
    <d v="2025-05-29T00:00:00"/>
    <x v="0"/>
    <n v="675"/>
    <x v="4"/>
  </r>
  <r>
    <n v="335"/>
    <x v="1"/>
    <n v="0"/>
    <n v="747.5"/>
    <d v="2025-04-15T00:00:00"/>
    <x v="1"/>
    <n v="642"/>
    <x v="2"/>
  </r>
  <r>
    <n v="336"/>
    <x v="0"/>
    <n v="0"/>
    <n v="536.47"/>
    <d v="2025-06-17T00:00:00"/>
    <x v="2"/>
    <n v="790"/>
    <x v="0"/>
  </r>
  <r>
    <n v="337"/>
    <x v="1"/>
    <n v="0"/>
    <n v="467.38"/>
    <d v="2025-05-24T00:00:00"/>
    <x v="0"/>
    <n v="873"/>
    <x v="0"/>
  </r>
  <r>
    <n v="338"/>
    <x v="0"/>
    <n v="0"/>
    <n v="410.86"/>
    <d v="2025-04-21T00:00:00"/>
    <x v="1"/>
    <n v="670"/>
    <x v="4"/>
  </r>
  <r>
    <n v="341"/>
    <x v="1"/>
    <n v="1"/>
    <n v="449.94"/>
    <d v="2025-05-13T00:00:00"/>
    <x v="0"/>
    <n v="816"/>
    <x v="5"/>
  </r>
  <r>
    <n v="343"/>
    <x v="1"/>
    <n v="0"/>
    <n v="587.46"/>
    <d v="2025-06-17T00:00:00"/>
    <x v="2"/>
    <n v="170"/>
    <x v="0"/>
  </r>
  <r>
    <n v="344"/>
    <x v="1"/>
    <n v="0"/>
    <n v="291.52"/>
    <d v="2025-06-14T00:00:00"/>
    <x v="2"/>
    <n v="485"/>
    <x v="5"/>
  </r>
  <r>
    <n v="345"/>
    <x v="0"/>
    <n v="0"/>
    <n v="648.04"/>
    <d v="2025-04-14T00:00:00"/>
    <x v="1"/>
    <n v="929"/>
    <x v="5"/>
  </r>
  <r>
    <n v="346"/>
    <x v="1"/>
    <n v="0"/>
    <n v="318.61"/>
    <d v="2025-05-26T00:00:00"/>
    <x v="0"/>
    <n v="231"/>
    <x v="0"/>
  </r>
  <r>
    <n v="347"/>
    <x v="0"/>
    <n v="0"/>
    <n v="402.53"/>
    <d v="2025-05-18T00:00:00"/>
    <x v="0"/>
    <n v="769"/>
    <x v="4"/>
  </r>
  <r>
    <n v="348"/>
    <x v="0"/>
    <n v="0"/>
    <n v="654.98"/>
    <d v="2025-05-30T00:00:00"/>
    <x v="0"/>
    <n v="776"/>
    <x v="2"/>
  </r>
  <r>
    <n v="349"/>
    <x v="1"/>
    <n v="0"/>
    <n v="523.42999999999995"/>
    <d v="2025-06-15T00:00:00"/>
    <x v="2"/>
    <n v="854"/>
    <x v="2"/>
  </r>
  <r>
    <n v="35"/>
    <x v="0"/>
    <n v="0"/>
    <n v="433.96"/>
    <d v="2025-04-27T00:00:00"/>
    <x v="1"/>
    <n v="574"/>
    <x v="4"/>
  </r>
  <r>
    <n v="350"/>
    <x v="0"/>
    <n v="0"/>
    <n v="529.4"/>
    <d v="2025-04-19T00:00:00"/>
    <x v="1"/>
    <n v="129"/>
    <x v="0"/>
  </r>
  <r>
    <n v="351"/>
    <x v="0"/>
    <n v="0"/>
    <n v="494.28"/>
    <d v="2025-05-27T00:00:00"/>
    <x v="0"/>
    <n v="840"/>
    <x v="1"/>
  </r>
  <r>
    <n v="352"/>
    <x v="0"/>
    <n v="0"/>
    <n v="698.65"/>
    <d v="2025-05-04T00:00:00"/>
    <x v="0"/>
    <n v="231"/>
    <x v="0"/>
  </r>
  <r>
    <n v="354"/>
    <x v="1"/>
    <n v="0"/>
    <n v="342.09"/>
    <d v="2025-04-04T00:00:00"/>
    <x v="1"/>
    <n v="545"/>
    <x v="1"/>
  </r>
  <r>
    <n v="356"/>
    <x v="1"/>
    <n v="1"/>
    <n v="344.13"/>
    <d v="2025-05-13T00:00:00"/>
    <x v="0"/>
    <n v="59"/>
    <x v="1"/>
  </r>
  <r>
    <n v="357"/>
    <x v="0"/>
    <n v="0"/>
    <n v="548.55999999999995"/>
    <d v="2025-04-26T00:00:00"/>
    <x v="1"/>
    <n v="519"/>
    <x v="4"/>
  </r>
  <r>
    <n v="358"/>
    <x v="1"/>
    <n v="0"/>
    <n v="603.85"/>
    <d v="2025-04-06T00:00:00"/>
    <x v="1"/>
    <n v="587"/>
    <x v="1"/>
  </r>
  <r>
    <n v="359"/>
    <x v="1"/>
    <n v="0"/>
    <n v="590.5"/>
    <d v="2025-04-18T00:00:00"/>
    <x v="1"/>
    <n v="503"/>
    <x v="4"/>
  </r>
  <r>
    <n v="36"/>
    <x v="0"/>
    <n v="0"/>
    <n v="380.74"/>
    <d v="2025-05-28T00:00:00"/>
    <x v="0"/>
    <n v="475"/>
    <x v="4"/>
  </r>
  <r>
    <n v="360"/>
    <x v="1"/>
    <n v="0"/>
    <n v="568.53"/>
    <d v="2025-04-24T00:00:00"/>
    <x v="1"/>
    <n v="981"/>
    <x v="3"/>
  </r>
  <r>
    <n v="361"/>
    <x v="0"/>
    <n v="0"/>
    <n v="684.03"/>
    <d v="2025-05-05T00:00:00"/>
    <x v="0"/>
    <n v="289"/>
    <x v="5"/>
  </r>
  <r>
    <n v="362"/>
    <x v="1"/>
    <n v="0"/>
    <n v="514.28"/>
    <d v="2025-05-25T00:00:00"/>
    <x v="0"/>
    <n v="861"/>
    <x v="2"/>
  </r>
  <r>
    <n v="369"/>
    <x v="0"/>
    <n v="0"/>
    <n v="257.37"/>
    <d v="2025-04-29T00:00:00"/>
    <x v="1"/>
    <n v="832"/>
    <x v="4"/>
  </r>
  <r>
    <n v="37"/>
    <x v="1"/>
    <n v="0"/>
    <n v="715.38"/>
    <d v="2025-04-22T00:00:00"/>
    <x v="1"/>
    <n v="720"/>
    <x v="3"/>
  </r>
  <r>
    <n v="370"/>
    <x v="1"/>
    <n v="0"/>
    <n v="186.88"/>
    <d v="2025-04-21T00:00:00"/>
    <x v="1"/>
    <n v="225"/>
    <x v="0"/>
  </r>
  <r>
    <n v="371"/>
    <x v="0"/>
    <n v="0"/>
    <n v="459.42"/>
    <d v="2025-04-20T00:00:00"/>
    <x v="1"/>
    <n v="470"/>
    <x v="4"/>
  </r>
  <r>
    <n v="375"/>
    <x v="0"/>
    <n v="0"/>
    <n v="420.74"/>
    <d v="2025-04-14T00:00:00"/>
    <x v="1"/>
    <n v="819"/>
    <x v="4"/>
  </r>
  <r>
    <n v="376"/>
    <x v="1"/>
    <n v="1"/>
    <n v="195.76"/>
    <d v="2025-05-19T00:00:00"/>
    <x v="0"/>
    <n v="497"/>
    <x v="1"/>
  </r>
  <r>
    <n v="377"/>
    <x v="0"/>
    <n v="0"/>
    <n v="346.01"/>
    <d v="2025-05-14T00:00:00"/>
    <x v="0"/>
    <n v="823"/>
    <x v="1"/>
  </r>
  <r>
    <n v="378"/>
    <x v="1"/>
    <n v="0"/>
    <n v="354.21"/>
    <d v="2025-04-17T00:00:00"/>
    <x v="1"/>
    <n v="943"/>
    <x v="4"/>
  </r>
  <r>
    <n v="38"/>
    <x v="0"/>
    <n v="0"/>
    <n v="440.7"/>
    <d v="2025-05-26T00:00:00"/>
    <x v="0"/>
    <n v="484"/>
    <x v="0"/>
  </r>
  <r>
    <n v="382"/>
    <x v="0"/>
    <n v="0"/>
    <n v="692.47"/>
    <d v="2025-04-26T00:00:00"/>
    <x v="1"/>
    <n v="99"/>
    <x v="3"/>
  </r>
  <r>
    <n v="383"/>
    <x v="1"/>
    <n v="0"/>
    <n v="504.66"/>
    <d v="2025-04-15T00:00:00"/>
    <x v="1"/>
    <n v="451"/>
    <x v="0"/>
  </r>
  <r>
    <n v="384"/>
    <x v="0"/>
    <n v="0"/>
    <n v="453.66"/>
    <d v="2025-04-27T00:00:00"/>
    <x v="1"/>
    <n v="242"/>
    <x v="5"/>
  </r>
  <r>
    <n v="386"/>
    <x v="1"/>
    <n v="0"/>
    <n v="323.99"/>
    <d v="2025-04-21T00:00:00"/>
    <x v="1"/>
    <n v="445"/>
    <x v="4"/>
  </r>
  <r>
    <n v="387"/>
    <x v="0"/>
    <n v="0"/>
    <n v="362.98"/>
    <d v="2025-04-20T00:00:00"/>
    <x v="1"/>
    <n v="2"/>
    <x v="0"/>
  </r>
  <r>
    <n v="389"/>
    <x v="0"/>
    <n v="0"/>
    <n v="265.11"/>
    <d v="2025-04-18T00:00:00"/>
    <x v="1"/>
    <n v="457"/>
    <x v="1"/>
  </r>
  <r>
    <n v="39"/>
    <x v="0"/>
    <n v="0"/>
    <n v="628.12"/>
    <d v="2025-05-14T00:00:00"/>
    <x v="0"/>
    <n v="955"/>
    <x v="2"/>
  </r>
  <r>
    <n v="390"/>
    <x v="1"/>
    <n v="0"/>
    <n v="630.23"/>
    <d v="2025-05-20T00:00:00"/>
    <x v="0"/>
    <n v="564"/>
    <x v="4"/>
  </r>
  <r>
    <n v="391"/>
    <x v="0"/>
    <n v="0"/>
    <n v="718.22"/>
    <d v="2025-04-30T00:00:00"/>
    <x v="1"/>
    <n v="564"/>
    <x v="4"/>
  </r>
  <r>
    <n v="392"/>
    <x v="0"/>
    <n v="0"/>
    <n v="202.88"/>
    <d v="2025-05-21T00:00:00"/>
    <x v="0"/>
    <n v="975"/>
    <x v="5"/>
  </r>
  <r>
    <n v="394"/>
    <x v="0"/>
    <n v="0"/>
    <n v="456.05"/>
    <d v="2025-06-15T00:00:00"/>
    <x v="2"/>
    <n v="435"/>
    <x v="5"/>
  </r>
  <r>
    <n v="396"/>
    <x v="0"/>
    <n v="0"/>
    <n v="567.23"/>
    <d v="2025-05-28T00:00:00"/>
    <x v="0"/>
    <n v="612"/>
    <x v="4"/>
  </r>
  <r>
    <n v="397"/>
    <x v="0"/>
    <n v="0"/>
    <n v="458.22"/>
    <d v="2025-04-29T00:00:00"/>
    <x v="1"/>
    <n v="17"/>
    <x v="0"/>
  </r>
  <r>
    <n v="399"/>
    <x v="1"/>
    <n v="0"/>
    <n v="392.48"/>
    <d v="2025-04-05T00:00:00"/>
    <x v="1"/>
    <n v="700"/>
    <x v="2"/>
  </r>
  <r>
    <n v="40"/>
    <x v="1"/>
    <n v="1"/>
    <n v="233.35"/>
    <d v="2025-05-13T00:00:00"/>
    <x v="0"/>
    <n v="96"/>
    <x v="4"/>
  </r>
  <r>
    <n v="400"/>
    <x v="1"/>
    <n v="0"/>
    <n v="487.91"/>
    <d v="2025-04-21T00:00:00"/>
    <x v="1"/>
    <n v="928"/>
    <x v="5"/>
  </r>
  <r>
    <n v="401"/>
    <x v="0"/>
    <n v="0"/>
    <n v="523.89"/>
    <d v="2025-04-15T00:00:00"/>
    <x v="1"/>
    <n v="397"/>
    <x v="0"/>
  </r>
  <r>
    <n v="402"/>
    <x v="0"/>
    <n v="0"/>
    <n v="394.47"/>
    <d v="2025-05-13T00:00:00"/>
    <x v="0"/>
    <n v="301"/>
    <x v="0"/>
  </r>
  <r>
    <n v="403"/>
    <x v="1"/>
    <n v="0"/>
    <n v="336.24"/>
    <d v="2025-04-27T00:00:00"/>
    <x v="1"/>
    <n v="476"/>
    <x v="1"/>
  </r>
  <r>
    <n v="404"/>
    <x v="0"/>
    <n v="0"/>
    <n v="225.88"/>
    <d v="2025-05-26T00:00:00"/>
    <x v="0"/>
    <n v="929"/>
    <x v="5"/>
  </r>
  <r>
    <n v="405"/>
    <x v="0"/>
    <n v="0"/>
    <n v="455.67"/>
    <d v="2025-05-20T00:00:00"/>
    <x v="0"/>
    <n v="657"/>
    <x v="4"/>
  </r>
  <r>
    <n v="406"/>
    <x v="0"/>
    <n v="0"/>
    <n v="566.89"/>
    <d v="2025-05-14T00:00:00"/>
    <x v="0"/>
    <n v="677"/>
    <x v="2"/>
  </r>
  <r>
    <n v="407"/>
    <x v="1"/>
    <n v="0"/>
    <n v="560"/>
    <d v="2025-04-21T00:00:00"/>
    <x v="1"/>
    <n v="12"/>
    <x v="1"/>
  </r>
  <r>
    <n v="408"/>
    <x v="0"/>
    <n v="0"/>
    <n v="448.55"/>
    <d v="2025-04-05T00:00:00"/>
    <x v="1"/>
    <n v="202"/>
    <x v="5"/>
  </r>
  <r>
    <n v="41"/>
    <x v="0"/>
    <n v="0"/>
    <n v="481.09"/>
    <d v="2025-04-14T00:00:00"/>
    <x v="1"/>
    <n v="367"/>
    <x v="5"/>
  </r>
  <r>
    <n v="410"/>
    <x v="0"/>
    <n v="0"/>
    <n v="816.6"/>
    <d v="2025-05-23T00:00:00"/>
    <x v="0"/>
    <n v="419"/>
    <x v="3"/>
  </r>
  <r>
    <n v="411"/>
    <x v="1"/>
    <n v="1"/>
    <n v="393.19"/>
    <d v="2025-05-13T00:00:00"/>
    <x v="0"/>
    <n v="207"/>
    <x v="1"/>
  </r>
  <r>
    <n v="413"/>
    <x v="0"/>
    <n v="0"/>
    <n v="669.28"/>
    <d v="2025-06-17T00:00:00"/>
    <x v="2"/>
    <n v="69"/>
    <x v="1"/>
  </r>
  <r>
    <n v="414"/>
    <x v="1"/>
    <n v="0"/>
    <n v="492.17"/>
    <d v="2025-06-14T00:00:00"/>
    <x v="2"/>
    <n v="404"/>
    <x v="1"/>
  </r>
  <r>
    <n v="416"/>
    <x v="1"/>
    <n v="0"/>
    <n v="357.92"/>
    <d v="2025-04-06T00:00:00"/>
    <x v="1"/>
    <n v="336"/>
    <x v="4"/>
  </r>
  <r>
    <n v="418"/>
    <x v="1"/>
    <n v="0"/>
    <n v="211.8"/>
    <d v="2025-05-06T00:00:00"/>
    <x v="0"/>
    <n v="384"/>
    <x v="1"/>
  </r>
  <r>
    <n v="419"/>
    <x v="0"/>
    <n v="0"/>
    <n v="673.59"/>
    <d v="2025-05-22T00:00:00"/>
    <x v="0"/>
    <n v="148"/>
    <x v="5"/>
  </r>
  <r>
    <n v="42"/>
    <x v="1"/>
    <n v="0"/>
    <n v="186.91"/>
    <d v="2025-05-31T00:00:00"/>
    <x v="0"/>
    <n v="191"/>
    <x v="1"/>
  </r>
  <r>
    <n v="420"/>
    <x v="1"/>
    <n v="0"/>
    <n v="503.76"/>
    <d v="2025-06-16T00:00:00"/>
    <x v="2"/>
    <n v="828"/>
    <x v="0"/>
  </r>
  <r>
    <n v="421"/>
    <x v="0"/>
    <n v="0"/>
    <n v="310.51"/>
    <d v="2025-05-19T00:00:00"/>
    <x v="0"/>
    <n v="230"/>
    <x v="0"/>
  </r>
  <r>
    <n v="423"/>
    <x v="1"/>
    <n v="1"/>
    <n v="238.34"/>
    <d v="2025-05-13T00:00:00"/>
    <x v="0"/>
    <n v="729"/>
    <x v="2"/>
  </r>
  <r>
    <n v="424"/>
    <x v="1"/>
    <n v="0"/>
    <n v="397.38"/>
    <d v="2025-05-22T00:00:00"/>
    <x v="0"/>
    <n v="956"/>
    <x v="2"/>
  </r>
  <r>
    <n v="425"/>
    <x v="0"/>
    <n v="0"/>
    <n v="341.94"/>
    <d v="2025-04-16T00:00:00"/>
    <x v="1"/>
    <n v="124"/>
    <x v="0"/>
  </r>
  <r>
    <n v="426"/>
    <x v="0"/>
    <n v="0"/>
    <n v="605.80999999999995"/>
    <d v="2025-06-15T00:00:00"/>
    <x v="2"/>
    <n v="38"/>
    <x v="3"/>
  </r>
  <r>
    <n v="427"/>
    <x v="1"/>
    <n v="0"/>
    <n v="525.37"/>
    <d v="2025-06-17T00:00:00"/>
    <x v="2"/>
    <n v="401"/>
    <x v="0"/>
  </r>
  <r>
    <n v="428"/>
    <x v="1"/>
    <n v="1"/>
    <n v="70.69"/>
    <d v="2025-05-14T00:00:00"/>
    <x v="0"/>
    <n v="556"/>
    <x v="4"/>
  </r>
  <r>
    <n v="429"/>
    <x v="1"/>
    <n v="0"/>
    <n v="554.35"/>
    <d v="2025-06-14T00:00:00"/>
    <x v="2"/>
    <n v="978"/>
    <x v="0"/>
  </r>
  <r>
    <n v="43"/>
    <x v="1"/>
    <n v="0"/>
    <n v="478.95"/>
    <d v="2025-04-15T00:00:00"/>
    <x v="1"/>
    <n v="217"/>
    <x v="4"/>
  </r>
  <r>
    <n v="430"/>
    <x v="0"/>
    <n v="0"/>
    <n v="346.27"/>
    <d v="2025-04-18T00:00:00"/>
    <x v="1"/>
    <n v="654"/>
    <x v="4"/>
  </r>
  <r>
    <n v="432"/>
    <x v="0"/>
    <n v="0"/>
    <n v="432.21"/>
    <d v="2025-04-20T00:00:00"/>
    <x v="1"/>
    <n v="432"/>
    <x v="1"/>
  </r>
  <r>
    <n v="433"/>
    <x v="1"/>
    <n v="0"/>
    <n v="647.79999999999995"/>
    <d v="2025-05-30T00:00:00"/>
    <x v="0"/>
    <n v="608"/>
    <x v="0"/>
  </r>
  <r>
    <n v="435"/>
    <x v="1"/>
    <n v="0"/>
    <n v="300.68"/>
    <d v="2025-04-27T00:00:00"/>
    <x v="1"/>
    <n v="613"/>
    <x v="5"/>
  </r>
  <r>
    <n v="436"/>
    <x v="1"/>
    <n v="0"/>
    <n v="345.59"/>
    <d v="2025-04-28T00:00:00"/>
    <x v="1"/>
    <n v="481"/>
    <x v="0"/>
  </r>
  <r>
    <n v="44"/>
    <x v="0"/>
    <n v="0"/>
    <n v="373.27"/>
    <d v="2025-05-14T00:00:00"/>
    <x v="0"/>
    <n v="957"/>
    <x v="0"/>
  </r>
  <r>
    <n v="440"/>
    <x v="1"/>
    <n v="1"/>
    <n v="358.65"/>
    <d v="2025-05-15T00:00:00"/>
    <x v="0"/>
    <n v="698"/>
    <x v="2"/>
  </r>
  <r>
    <n v="441"/>
    <x v="0"/>
    <n v="0"/>
    <n v="239.84"/>
    <d v="2025-04-28T00:00:00"/>
    <x v="1"/>
    <n v="858"/>
    <x v="1"/>
  </r>
  <r>
    <n v="442"/>
    <x v="0"/>
    <n v="1"/>
    <n v="339.49"/>
    <d v="2025-06-06T00:00:00"/>
    <x v="2"/>
    <n v="408"/>
    <x v="1"/>
  </r>
  <r>
    <n v="444"/>
    <x v="0"/>
    <n v="0"/>
    <n v="487.51"/>
    <d v="2025-05-19T00:00:00"/>
    <x v="0"/>
    <n v="734"/>
    <x v="5"/>
  </r>
  <r>
    <n v="445"/>
    <x v="0"/>
    <n v="1"/>
    <n v="195.86"/>
    <d v="2025-05-06T00:00:00"/>
    <x v="0"/>
    <n v="852"/>
    <x v="2"/>
  </r>
  <r>
    <n v="447"/>
    <x v="1"/>
    <n v="0"/>
    <n v="433.9"/>
    <d v="2025-04-19T00:00:00"/>
    <x v="1"/>
    <n v="727"/>
    <x v="2"/>
  </r>
  <r>
    <n v="448"/>
    <x v="1"/>
    <n v="0"/>
    <n v="319.3"/>
    <d v="2025-04-29T00:00:00"/>
    <x v="1"/>
    <n v="143"/>
    <x v="5"/>
  </r>
  <r>
    <n v="449"/>
    <x v="0"/>
    <n v="0"/>
    <n v="274.72000000000003"/>
    <d v="2025-05-23T00:00:00"/>
    <x v="0"/>
    <n v="749"/>
    <x v="3"/>
  </r>
  <r>
    <n v="450"/>
    <x v="1"/>
    <n v="0"/>
    <n v="540.03"/>
    <d v="2025-04-30T00:00:00"/>
    <x v="1"/>
    <n v="640"/>
    <x v="0"/>
  </r>
  <r>
    <n v="451"/>
    <x v="0"/>
    <n v="0"/>
    <n v="485.52"/>
    <d v="2025-04-15T00:00:00"/>
    <x v="1"/>
    <n v="997"/>
    <x v="4"/>
  </r>
  <r>
    <n v="452"/>
    <x v="1"/>
    <n v="0"/>
    <n v="341.2"/>
    <d v="2025-04-25T00:00:00"/>
    <x v="1"/>
    <n v="605"/>
    <x v="3"/>
  </r>
  <r>
    <n v="458"/>
    <x v="1"/>
    <n v="0"/>
    <n v="670.95"/>
    <d v="2025-05-20T00:00:00"/>
    <x v="0"/>
    <n v="613"/>
    <x v="5"/>
  </r>
  <r>
    <n v="46"/>
    <x v="1"/>
    <n v="0"/>
    <n v="133.43"/>
    <d v="2025-06-14T00:00:00"/>
    <x v="2"/>
    <n v="386"/>
    <x v="0"/>
  </r>
  <r>
    <n v="461"/>
    <x v="0"/>
    <n v="0"/>
    <n v="439.03"/>
    <d v="2025-05-27T00:00:00"/>
    <x v="0"/>
    <n v="607"/>
    <x v="0"/>
  </r>
  <r>
    <n v="463"/>
    <x v="1"/>
    <n v="0"/>
    <n v="418.95"/>
    <d v="2025-06-13T00:00:00"/>
    <x v="2"/>
    <n v="497"/>
    <x v="1"/>
  </r>
  <r>
    <n v="465"/>
    <x v="0"/>
    <n v="0"/>
    <n v="572.22"/>
    <d v="2025-06-14T00:00:00"/>
    <x v="2"/>
    <n v="783"/>
    <x v="4"/>
  </r>
  <r>
    <n v="466"/>
    <x v="0"/>
    <n v="0"/>
    <n v="573.78"/>
    <d v="2025-04-17T00:00:00"/>
    <x v="1"/>
    <n v="538"/>
    <x v="5"/>
  </r>
  <r>
    <n v="467"/>
    <x v="1"/>
    <n v="0"/>
    <n v="425.23"/>
    <d v="2025-04-20T00:00:00"/>
    <x v="1"/>
    <n v="220"/>
    <x v="1"/>
  </r>
  <r>
    <n v="468"/>
    <x v="1"/>
    <n v="0"/>
    <n v="334.88"/>
    <d v="2025-05-05T00:00:00"/>
    <x v="0"/>
    <n v="273"/>
    <x v="0"/>
  </r>
  <r>
    <n v="469"/>
    <x v="0"/>
    <n v="0"/>
    <n v="316.23"/>
    <d v="2025-05-25T00:00:00"/>
    <x v="0"/>
    <n v="180"/>
    <x v="1"/>
  </r>
  <r>
    <n v="470"/>
    <x v="1"/>
    <n v="0"/>
    <n v="526.46"/>
    <d v="2025-04-30T00:00:00"/>
    <x v="1"/>
    <n v="664"/>
    <x v="0"/>
  </r>
  <r>
    <n v="473"/>
    <x v="0"/>
    <n v="0"/>
    <n v="270.72000000000003"/>
    <d v="2025-04-30T00:00:00"/>
    <x v="1"/>
    <n v="820"/>
    <x v="3"/>
  </r>
  <r>
    <n v="474"/>
    <x v="1"/>
    <n v="0"/>
    <n v="549.22"/>
    <d v="2025-04-14T00:00:00"/>
    <x v="1"/>
    <n v="190"/>
    <x v="4"/>
  </r>
  <r>
    <n v="475"/>
    <x v="1"/>
    <n v="0"/>
    <n v="513.94000000000005"/>
    <d v="2025-04-28T00:00:00"/>
    <x v="1"/>
    <n v="831"/>
    <x v="1"/>
  </r>
  <r>
    <n v="476"/>
    <x v="1"/>
    <n v="1"/>
    <n v="302.38"/>
    <d v="2025-05-17T00:00:00"/>
    <x v="0"/>
    <n v="511"/>
    <x v="0"/>
  </r>
  <r>
    <n v="478"/>
    <x v="1"/>
    <n v="0"/>
    <n v="162.44"/>
    <d v="2025-04-14T00:00:00"/>
    <x v="1"/>
    <n v="957"/>
    <x v="0"/>
  </r>
  <r>
    <n v="479"/>
    <x v="0"/>
    <n v="0"/>
    <n v="413.62"/>
    <d v="2025-05-20T00:00:00"/>
    <x v="0"/>
    <n v="908"/>
    <x v="1"/>
  </r>
  <r>
    <n v="480"/>
    <x v="0"/>
    <n v="0"/>
    <n v="821.72"/>
    <d v="2025-04-24T00:00:00"/>
    <x v="1"/>
    <n v="455"/>
    <x v="5"/>
  </r>
  <r>
    <n v="482"/>
    <x v="1"/>
    <n v="0"/>
    <n v="306.89999999999998"/>
    <d v="2025-05-24T00:00:00"/>
    <x v="0"/>
    <n v="272"/>
    <x v="5"/>
  </r>
  <r>
    <n v="483"/>
    <x v="0"/>
    <n v="1"/>
    <n v="358.54"/>
    <d v="2025-06-06T00:00:00"/>
    <x v="2"/>
    <n v="547"/>
    <x v="0"/>
  </r>
  <r>
    <n v="484"/>
    <x v="1"/>
    <n v="0"/>
    <n v="209.26"/>
    <d v="2025-04-26T00:00:00"/>
    <x v="1"/>
    <n v="218"/>
    <x v="1"/>
  </r>
  <r>
    <n v="485"/>
    <x v="0"/>
    <n v="0"/>
    <n v="225.79"/>
    <d v="2025-06-13T00:00:00"/>
    <x v="2"/>
    <n v="822"/>
    <x v="1"/>
  </r>
  <r>
    <n v="486"/>
    <x v="1"/>
    <n v="0"/>
    <n v="291.32"/>
    <d v="2025-04-19T00:00:00"/>
    <x v="1"/>
    <n v="241"/>
    <x v="3"/>
  </r>
  <r>
    <n v="488"/>
    <x v="0"/>
    <n v="0"/>
    <n v="479.79"/>
    <d v="2025-05-15T00:00:00"/>
    <x v="0"/>
    <n v="682"/>
    <x v="2"/>
  </r>
  <r>
    <n v="489"/>
    <x v="0"/>
    <n v="0"/>
    <n v="378.07"/>
    <d v="2025-06-13T00:00:00"/>
    <x v="2"/>
    <n v="693"/>
    <x v="5"/>
  </r>
  <r>
    <n v="490"/>
    <x v="1"/>
    <n v="0"/>
    <n v="454.26"/>
    <d v="2025-05-24T00:00:00"/>
    <x v="0"/>
    <n v="854"/>
    <x v="2"/>
  </r>
  <r>
    <n v="491"/>
    <x v="0"/>
    <n v="0"/>
    <n v="560.98"/>
    <d v="2025-05-23T00:00:00"/>
    <x v="0"/>
    <n v="699"/>
    <x v="5"/>
  </r>
  <r>
    <n v="495"/>
    <x v="0"/>
    <n v="0"/>
    <n v="780.29"/>
    <d v="2025-04-29T00:00:00"/>
    <x v="1"/>
    <n v="762"/>
    <x v="3"/>
  </r>
  <r>
    <n v="497"/>
    <x v="1"/>
    <n v="1"/>
    <n v="322.48"/>
    <d v="2025-05-13T00:00:00"/>
    <x v="0"/>
    <n v="588"/>
    <x v="2"/>
  </r>
  <r>
    <n v="498"/>
    <x v="0"/>
    <n v="0"/>
    <n v="509.91"/>
    <d v="2025-05-25T00:00:00"/>
    <x v="0"/>
    <n v="9"/>
    <x v="3"/>
  </r>
  <r>
    <n v="500"/>
    <x v="0"/>
    <n v="0"/>
    <n v="680.33"/>
    <d v="2025-04-26T00:00:00"/>
    <x v="1"/>
    <n v="348"/>
    <x v="1"/>
  </r>
  <r>
    <n v="503"/>
    <x v="0"/>
    <n v="0"/>
    <n v="297.86"/>
    <d v="2025-05-22T00:00:00"/>
    <x v="0"/>
    <n v="341"/>
    <x v="0"/>
  </r>
  <r>
    <n v="504"/>
    <x v="1"/>
    <n v="0"/>
    <n v="458.7"/>
    <d v="2025-06-04T00:00:00"/>
    <x v="2"/>
    <n v="795"/>
    <x v="1"/>
  </r>
  <r>
    <n v="505"/>
    <x v="1"/>
    <n v="0"/>
    <n v="492.34"/>
    <d v="2025-05-23T00:00:00"/>
    <x v="0"/>
    <n v="36"/>
    <x v="0"/>
  </r>
  <r>
    <n v="506"/>
    <x v="0"/>
    <n v="0"/>
    <n v="570.95000000000005"/>
    <d v="2025-04-23T00:00:00"/>
    <x v="1"/>
    <n v="963"/>
    <x v="1"/>
  </r>
  <r>
    <n v="509"/>
    <x v="0"/>
    <n v="0"/>
    <n v="253.64"/>
    <d v="2025-05-15T00:00:00"/>
    <x v="0"/>
    <n v="663"/>
    <x v="5"/>
  </r>
  <r>
    <n v="510"/>
    <x v="0"/>
    <n v="0"/>
    <n v="227.01"/>
    <d v="2025-04-30T00:00:00"/>
    <x v="1"/>
    <n v="892"/>
    <x v="1"/>
  </r>
  <r>
    <n v="511"/>
    <x v="0"/>
    <n v="0"/>
    <n v="515.44000000000005"/>
    <d v="2025-04-04T00:00:00"/>
    <x v="1"/>
    <n v="754"/>
    <x v="3"/>
  </r>
  <r>
    <n v="512"/>
    <x v="1"/>
    <n v="0"/>
    <n v="412.13"/>
    <d v="2025-04-06T00:00:00"/>
    <x v="1"/>
    <n v="682"/>
    <x v="2"/>
  </r>
  <r>
    <n v="513"/>
    <x v="0"/>
    <n v="0"/>
    <n v="441.25"/>
    <d v="2025-06-14T00:00:00"/>
    <x v="2"/>
    <n v="474"/>
    <x v="0"/>
  </r>
  <r>
    <n v="514"/>
    <x v="1"/>
    <n v="0"/>
    <n v="599.54"/>
    <d v="2025-06-17T00:00:00"/>
    <x v="2"/>
    <n v="397"/>
    <x v="0"/>
  </r>
  <r>
    <n v="515"/>
    <x v="0"/>
    <n v="0"/>
    <n v="627.9"/>
    <d v="2025-05-20T00:00:00"/>
    <x v="0"/>
    <n v="189"/>
    <x v="1"/>
  </r>
  <r>
    <n v="516"/>
    <x v="0"/>
    <n v="0"/>
    <n v="390.32"/>
    <d v="2025-05-04T00:00:00"/>
    <x v="0"/>
    <n v="617"/>
    <x v="5"/>
  </r>
  <r>
    <n v="517"/>
    <x v="0"/>
    <n v="0"/>
    <n v="254.46"/>
    <d v="2025-06-05T00:00:00"/>
    <x v="2"/>
    <n v="525"/>
    <x v="4"/>
  </r>
  <r>
    <n v="518"/>
    <x v="0"/>
    <n v="0"/>
    <n v="544.28"/>
    <d v="2025-05-04T00:00:00"/>
    <x v="0"/>
    <n v="455"/>
    <x v="5"/>
  </r>
  <r>
    <n v="52"/>
    <x v="0"/>
    <n v="0"/>
    <n v="646.63"/>
    <d v="2025-05-21T00:00:00"/>
    <x v="0"/>
    <n v="438"/>
    <x v="1"/>
  </r>
  <r>
    <n v="521"/>
    <x v="1"/>
    <n v="0"/>
    <n v="538"/>
    <d v="2025-05-04T00:00:00"/>
    <x v="0"/>
    <n v="851"/>
    <x v="0"/>
  </r>
  <r>
    <n v="524"/>
    <x v="1"/>
    <n v="1"/>
    <n v="284.64999999999998"/>
    <d v="2025-05-15T00:00:00"/>
    <x v="0"/>
    <n v="144"/>
    <x v="1"/>
  </r>
  <r>
    <n v="525"/>
    <x v="1"/>
    <n v="0"/>
    <n v="380.43"/>
    <d v="2025-05-21T00:00:00"/>
    <x v="0"/>
    <n v="908"/>
    <x v="1"/>
  </r>
  <r>
    <n v="527"/>
    <x v="0"/>
    <n v="0"/>
    <n v="420.5"/>
    <d v="2025-05-28T00:00:00"/>
    <x v="0"/>
    <n v="160"/>
    <x v="1"/>
  </r>
  <r>
    <n v="528"/>
    <x v="1"/>
    <n v="1"/>
    <n v="333.83"/>
    <d v="2025-05-17T00:00:00"/>
    <x v="0"/>
    <n v="921"/>
    <x v="4"/>
  </r>
  <r>
    <n v="529"/>
    <x v="1"/>
    <n v="0"/>
    <n v="341.18"/>
    <d v="2025-04-14T00:00:00"/>
    <x v="1"/>
    <n v="566"/>
    <x v="4"/>
  </r>
  <r>
    <n v="53"/>
    <x v="0"/>
    <n v="0"/>
    <n v="324.33"/>
    <d v="2025-04-14T00:00:00"/>
    <x v="1"/>
    <n v="885"/>
    <x v="3"/>
  </r>
  <r>
    <n v="530"/>
    <x v="1"/>
    <n v="0"/>
    <n v="547.16"/>
    <d v="2025-04-19T00:00:00"/>
    <x v="1"/>
    <n v="398"/>
    <x v="3"/>
  </r>
  <r>
    <n v="531"/>
    <x v="1"/>
    <n v="0"/>
    <n v="417.74"/>
    <d v="2025-05-30T00:00:00"/>
    <x v="0"/>
    <n v="900"/>
    <x v="1"/>
  </r>
  <r>
    <n v="534"/>
    <x v="1"/>
    <n v="0"/>
    <n v="385.1"/>
    <d v="2025-04-22T00:00:00"/>
    <x v="1"/>
    <n v="652"/>
    <x v="1"/>
  </r>
  <r>
    <n v="535"/>
    <x v="1"/>
    <n v="0"/>
    <n v="568.88"/>
    <d v="2025-05-31T00:00:00"/>
    <x v="0"/>
    <n v="174"/>
    <x v="1"/>
  </r>
  <r>
    <n v="536"/>
    <x v="1"/>
    <n v="0"/>
    <n v="390.51"/>
    <d v="2025-06-05T00:00:00"/>
    <x v="2"/>
    <n v="47"/>
    <x v="1"/>
  </r>
  <r>
    <n v="537"/>
    <x v="0"/>
    <n v="0"/>
    <n v="254.97"/>
    <d v="2025-04-30T00:00:00"/>
    <x v="1"/>
    <n v="897"/>
    <x v="0"/>
  </r>
  <r>
    <n v="538"/>
    <x v="1"/>
    <n v="0"/>
    <n v="502.9"/>
    <d v="2025-06-05T00:00:00"/>
    <x v="2"/>
    <n v="739"/>
    <x v="2"/>
  </r>
  <r>
    <n v="539"/>
    <x v="0"/>
    <n v="0"/>
    <n v="506.48"/>
    <d v="2025-04-26T00:00:00"/>
    <x v="1"/>
    <n v="422"/>
    <x v="5"/>
  </r>
  <r>
    <n v="54"/>
    <x v="1"/>
    <n v="0"/>
    <n v="416.34"/>
    <d v="2025-05-28T00:00:00"/>
    <x v="0"/>
    <n v="517"/>
    <x v="5"/>
  </r>
  <r>
    <n v="541"/>
    <x v="1"/>
    <n v="0"/>
    <n v="505.76"/>
    <d v="2025-04-27T00:00:00"/>
    <x v="1"/>
    <n v="877"/>
    <x v="0"/>
  </r>
  <r>
    <n v="542"/>
    <x v="0"/>
    <n v="0"/>
    <n v="382.14"/>
    <d v="2025-05-24T00:00:00"/>
    <x v="0"/>
    <n v="771"/>
    <x v="2"/>
  </r>
  <r>
    <n v="543"/>
    <x v="0"/>
    <n v="0"/>
    <n v="403.83"/>
    <d v="2025-04-26T00:00:00"/>
    <x v="1"/>
    <n v="896"/>
    <x v="2"/>
  </r>
  <r>
    <n v="545"/>
    <x v="0"/>
    <n v="0"/>
    <n v="391.91"/>
    <d v="2025-04-05T00:00:00"/>
    <x v="1"/>
    <n v="99"/>
    <x v="3"/>
  </r>
  <r>
    <n v="546"/>
    <x v="0"/>
    <n v="0"/>
    <n v="184.6"/>
    <d v="2025-04-28T00:00:00"/>
    <x v="1"/>
    <n v="787"/>
    <x v="4"/>
  </r>
  <r>
    <n v="548"/>
    <x v="1"/>
    <n v="0"/>
    <n v="635.79999999999995"/>
    <d v="2025-04-25T00:00:00"/>
    <x v="1"/>
    <n v="916"/>
    <x v="3"/>
  </r>
  <r>
    <n v="55"/>
    <x v="0"/>
    <n v="0"/>
    <n v="355.12"/>
    <d v="2025-04-17T00:00:00"/>
    <x v="1"/>
    <n v="511"/>
    <x v="0"/>
  </r>
  <r>
    <n v="550"/>
    <x v="0"/>
    <n v="0"/>
    <n v="335.22"/>
    <d v="2025-05-16T00:00:00"/>
    <x v="0"/>
    <n v="190"/>
    <x v="4"/>
  </r>
  <r>
    <n v="551"/>
    <x v="0"/>
    <n v="0"/>
    <n v="274.52999999999997"/>
    <d v="2025-05-31T00:00:00"/>
    <x v="0"/>
    <n v="398"/>
    <x v="3"/>
  </r>
  <r>
    <n v="552"/>
    <x v="1"/>
    <n v="1"/>
    <n v="377.54"/>
    <d v="2025-05-15T00:00:00"/>
    <x v="0"/>
    <n v="54"/>
    <x v="4"/>
  </r>
  <r>
    <n v="553"/>
    <x v="1"/>
    <n v="1"/>
    <n v="276.39"/>
    <d v="2025-05-18T00:00:00"/>
    <x v="0"/>
    <n v="804"/>
    <x v="4"/>
  </r>
  <r>
    <n v="554"/>
    <x v="0"/>
    <n v="0"/>
    <n v="322.94"/>
    <d v="2025-06-13T00:00:00"/>
    <x v="2"/>
    <n v="861"/>
    <x v="2"/>
  </r>
  <r>
    <n v="555"/>
    <x v="1"/>
    <n v="0"/>
    <n v="376.87"/>
    <d v="2025-05-25T00:00:00"/>
    <x v="0"/>
    <n v="997"/>
    <x v="4"/>
  </r>
  <r>
    <n v="556"/>
    <x v="0"/>
    <n v="0"/>
    <n v="553.83000000000004"/>
    <d v="2025-04-30T00:00:00"/>
    <x v="1"/>
    <n v="751"/>
    <x v="0"/>
  </r>
  <r>
    <n v="557"/>
    <x v="1"/>
    <n v="0"/>
    <n v="423.11"/>
    <d v="2025-04-25T00:00:00"/>
    <x v="1"/>
    <n v="194"/>
    <x v="5"/>
  </r>
  <r>
    <n v="558"/>
    <x v="1"/>
    <n v="1"/>
    <n v="191.33"/>
    <d v="2025-05-17T00:00:00"/>
    <x v="0"/>
    <n v="525"/>
    <x v="4"/>
  </r>
  <r>
    <n v="559"/>
    <x v="0"/>
    <n v="1"/>
    <n v="393"/>
    <d v="2025-04-06T00:00:00"/>
    <x v="1"/>
    <n v="192"/>
    <x v="3"/>
  </r>
  <r>
    <n v="56"/>
    <x v="1"/>
    <n v="0"/>
    <n v="337.98"/>
    <d v="2025-05-29T00:00:00"/>
    <x v="0"/>
    <n v="223"/>
    <x v="1"/>
  </r>
  <r>
    <n v="561"/>
    <x v="0"/>
    <n v="1"/>
    <n v="416.29"/>
    <d v="2025-06-06T00:00:00"/>
    <x v="2"/>
    <n v="829"/>
    <x v="2"/>
  </r>
  <r>
    <n v="562"/>
    <x v="1"/>
    <n v="0"/>
    <n v="552.4"/>
    <d v="2025-04-18T00:00:00"/>
    <x v="1"/>
    <n v="225"/>
    <x v="0"/>
  </r>
  <r>
    <n v="564"/>
    <x v="0"/>
    <n v="0"/>
    <n v="351.54"/>
    <d v="2025-05-28T00:00:00"/>
    <x v="0"/>
    <n v="511"/>
    <x v="0"/>
  </r>
  <r>
    <n v="565"/>
    <x v="0"/>
    <n v="0"/>
    <n v="448.32"/>
    <d v="2025-05-04T00:00:00"/>
    <x v="0"/>
    <n v="751"/>
    <x v="0"/>
  </r>
  <r>
    <n v="566"/>
    <x v="0"/>
    <n v="0"/>
    <n v="382.77"/>
    <d v="2025-04-21T00:00:00"/>
    <x v="1"/>
    <n v="325"/>
    <x v="1"/>
  </r>
  <r>
    <n v="567"/>
    <x v="0"/>
    <n v="0"/>
    <n v="511.12"/>
    <d v="2025-05-17T00:00:00"/>
    <x v="0"/>
    <n v="686"/>
    <x v="5"/>
  </r>
  <r>
    <n v="571"/>
    <x v="1"/>
    <n v="0"/>
    <n v="859.38"/>
    <d v="2025-05-23T00:00:00"/>
    <x v="0"/>
    <n v="191"/>
    <x v="1"/>
  </r>
  <r>
    <n v="572"/>
    <x v="1"/>
    <n v="0"/>
    <n v="709.31"/>
    <d v="2025-04-22T00:00:00"/>
    <x v="1"/>
    <n v="506"/>
    <x v="0"/>
  </r>
  <r>
    <n v="575"/>
    <x v="1"/>
    <n v="0"/>
    <n v="400.38"/>
    <d v="2025-04-27T00:00:00"/>
    <x v="1"/>
    <n v="5"/>
    <x v="3"/>
  </r>
  <r>
    <n v="576"/>
    <x v="0"/>
    <n v="0"/>
    <n v="537.95000000000005"/>
    <d v="2025-06-13T00:00:00"/>
    <x v="2"/>
    <n v="20"/>
    <x v="0"/>
  </r>
  <r>
    <n v="577"/>
    <x v="0"/>
    <n v="0"/>
    <n v="161.54"/>
    <d v="2025-05-27T00:00:00"/>
    <x v="0"/>
    <n v="958"/>
    <x v="1"/>
  </r>
  <r>
    <n v="578"/>
    <x v="1"/>
    <n v="0"/>
    <n v="357.46"/>
    <d v="2025-04-25T00:00:00"/>
    <x v="1"/>
    <n v="849"/>
    <x v="4"/>
  </r>
  <r>
    <n v="580"/>
    <x v="1"/>
    <n v="0"/>
    <n v="422.78"/>
    <d v="2025-05-31T00:00:00"/>
    <x v="0"/>
    <n v="833"/>
    <x v="2"/>
  </r>
  <r>
    <n v="581"/>
    <x v="0"/>
    <n v="0"/>
    <n v="516.66"/>
    <d v="2025-05-31T00:00:00"/>
    <x v="0"/>
    <n v="125"/>
    <x v="1"/>
  </r>
  <r>
    <n v="582"/>
    <x v="0"/>
    <n v="0"/>
    <n v="308.11"/>
    <d v="2025-06-04T00:00:00"/>
    <x v="2"/>
    <n v="357"/>
    <x v="4"/>
  </r>
  <r>
    <n v="588"/>
    <x v="1"/>
    <n v="1"/>
    <n v="178.9"/>
    <d v="2025-05-14T00:00:00"/>
    <x v="0"/>
    <n v="898"/>
    <x v="4"/>
  </r>
  <r>
    <n v="589"/>
    <x v="1"/>
    <n v="0"/>
    <n v="372.08"/>
    <d v="2025-06-17T00:00:00"/>
    <x v="2"/>
    <n v="160"/>
    <x v="1"/>
  </r>
  <r>
    <n v="59"/>
    <x v="0"/>
    <n v="0"/>
    <n v="435.92"/>
    <d v="2025-05-14T00:00:00"/>
    <x v="0"/>
    <n v="787"/>
    <x v="4"/>
  </r>
  <r>
    <n v="590"/>
    <x v="0"/>
    <n v="0"/>
    <n v="324.12"/>
    <d v="2025-04-13T00:00:00"/>
    <x v="1"/>
    <n v="512"/>
    <x v="1"/>
  </r>
  <r>
    <n v="591"/>
    <x v="0"/>
    <n v="0"/>
    <n v="616.58000000000004"/>
    <d v="2025-05-23T00:00:00"/>
    <x v="0"/>
    <n v="525"/>
    <x v="4"/>
  </r>
  <r>
    <n v="592"/>
    <x v="0"/>
    <n v="0"/>
    <n v="134.93"/>
    <d v="2025-05-17T00:00:00"/>
    <x v="0"/>
    <n v="906"/>
    <x v="5"/>
  </r>
  <r>
    <n v="593"/>
    <x v="1"/>
    <n v="0"/>
    <n v="303.48"/>
    <d v="2025-06-16T00:00:00"/>
    <x v="2"/>
    <n v="758"/>
    <x v="2"/>
  </r>
  <r>
    <n v="594"/>
    <x v="1"/>
    <n v="0"/>
    <n v="493.31"/>
    <d v="2025-05-30T00:00:00"/>
    <x v="0"/>
    <n v="69"/>
    <x v="1"/>
  </r>
  <r>
    <n v="597"/>
    <x v="1"/>
    <n v="0"/>
    <n v="760.4"/>
    <d v="2025-04-18T00:00:00"/>
    <x v="1"/>
    <n v="132"/>
    <x v="0"/>
  </r>
  <r>
    <n v="6"/>
    <x v="0"/>
    <n v="0"/>
    <n v="416.43"/>
    <d v="2025-06-14T00:00:00"/>
    <x v="2"/>
    <n v="659"/>
    <x v="2"/>
  </r>
  <r>
    <n v="601"/>
    <x v="0"/>
    <n v="0"/>
    <n v="542.91999999999996"/>
    <d v="2025-05-31T00:00:00"/>
    <x v="0"/>
    <n v="387"/>
    <x v="0"/>
  </r>
  <r>
    <n v="602"/>
    <x v="0"/>
    <n v="0"/>
    <n v="447.92"/>
    <d v="2025-04-28T00:00:00"/>
    <x v="1"/>
    <n v="284"/>
    <x v="4"/>
  </r>
  <r>
    <n v="603"/>
    <x v="1"/>
    <n v="0"/>
    <n v="367.01"/>
    <d v="2025-05-31T00:00:00"/>
    <x v="0"/>
    <n v="182"/>
    <x v="0"/>
  </r>
  <r>
    <n v="604"/>
    <x v="0"/>
    <n v="0"/>
    <n v="499.56"/>
    <d v="2025-05-26T00:00:00"/>
    <x v="0"/>
    <n v="338"/>
    <x v="3"/>
  </r>
  <r>
    <n v="605"/>
    <x v="1"/>
    <n v="0"/>
    <n v="411.94"/>
    <d v="2025-06-04T00:00:00"/>
    <x v="2"/>
    <n v="118"/>
    <x v="4"/>
  </r>
  <r>
    <n v="607"/>
    <x v="1"/>
    <n v="0"/>
    <n v="395.28"/>
    <d v="2025-04-30T00:00:00"/>
    <x v="1"/>
    <n v="785"/>
    <x v="0"/>
  </r>
  <r>
    <n v="609"/>
    <x v="1"/>
    <n v="0"/>
    <n v="340.38"/>
    <d v="2025-05-22T00:00:00"/>
    <x v="0"/>
    <n v="946"/>
    <x v="0"/>
  </r>
  <r>
    <n v="61"/>
    <x v="1"/>
    <n v="0"/>
    <n v="370.24"/>
    <d v="2025-05-26T00:00:00"/>
    <x v="0"/>
    <n v="444"/>
    <x v="1"/>
  </r>
  <r>
    <n v="610"/>
    <x v="0"/>
    <n v="0"/>
    <n v="435.62"/>
    <d v="2025-05-30T00:00:00"/>
    <x v="0"/>
    <n v="504"/>
    <x v="5"/>
  </r>
  <r>
    <n v="612"/>
    <x v="1"/>
    <n v="0"/>
    <n v="588.12"/>
    <d v="2025-05-25T00:00:00"/>
    <x v="0"/>
    <n v="488"/>
    <x v="1"/>
  </r>
  <r>
    <n v="613"/>
    <x v="0"/>
    <n v="0"/>
    <n v="562.46"/>
    <d v="2025-06-15T00:00:00"/>
    <x v="2"/>
    <n v="112"/>
    <x v="0"/>
  </r>
  <r>
    <n v="614"/>
    <x v="1"/>
    <n v="0"/>
    <n v="498.27"/>
    <d v="2025-05-29T00:00:00"/>
    <x v="0"/>
    <n v="761"/>
    <x v="5"/>
  </r>
  <r>
    <n v="615"/>
    <x v="1"/>
    <n v="1"/>
    <n v="207.29"/>
    <d v="2025-05-16T00:00:00"/>
    <x v="0"/>
    <n v="23"/>
    <x v="0"/>
  </r>
  <r>
    <n v="616"/>
    <x v="0"/>
    <n v="0"/>
    <n v="243.91"/>
    <d v="2025-04-23T00:00:00"/>
    <x v="1"/>
    <n v="838"/>
    <x v="3"/>
  </r>
  <r>
    <n v="617"/>
    <x v="0"/>
    <n v="0"/>
    <n v="566.22"/>
    <d v="2025-05-18T00:00:00"/>
    <x v="0"/>
    <n v="62"/>
    <x v="3"/>
  </r>
  <r>
    <n v="618"/>
    <x v="1"/>
    <n v="0"/>
    <n v="227.85"/>
    <d v="2025-04-19T00:00:00"/>
    <x v="1"/>
    <n v="653"/>
    <x v="2"/>
  </r>
  <r>
    <n v="619"/>
    <x v="1"/>
    <n v="1"/>
    <n v="232.25"/>
    <d v="2025-05-15T00:00:00"/>
    <x v="0"/>
    <n v="895"/>
    <x v="0"/>
  </r>
  <r>
    <n v="620"/>
    <x v="0"/>
    <n v="0"/>
    <n v="426.3"/>
    <d v="2025-05-20T00:00:00"/>
    <x v="0"/>
    <n v="65"/>
    <x v="3"/>
  </r>
  <r>
    <n v="621"/>
    <x v="1"/>
    <n v="1"/>
    <n v="263.25"/>
    <d v="2025-05-15T00:00:00"/>
    <x v="0"/>
    <n v="86"/>
    <x v="5"/>
  </r>
  <r>
    <n v="622"/>
    <x v="0"/>
    <n v="0"/>
    <n v="194.57"/>
    <d v="2025-04-26T00:00:00"/>
    <x v="1"/>
    <n v="217"/>
    <x v="4"/>
  </r>
  <r>
    <n v="623"/>
    <x v="0"/>
    <n v="0"/>
    <n v="284.26"/>
    <d v="2025-04-14T00:00:00"/>
    <x v="1"/>
    <n v="943"/>
    <x v="4"/>
  </r>
  <r>
    <n v="624"/>
    <x v="1"/>
    <n v="1"/>
    <n v="383.49"/>
    <d v="2025-05-13T00:00:00"/>
    <x v="0"/>
    <n v="223"/>
    <x v="1"/>
  </r>
  <r>
    <n v="626"/>
    <x v="1"/>
    <n v="0"/>
    <n v="147.29"/>
    <d v="2025-04-24T00:00:00"/>
    <x v="1"/>
    <n v="376"/>
    <x v="1"/>
  </r>
  <r>
    <n v="627"/>
    <x v="1"/>
    <n v="0"/>
    <n v="467.58"/>
    <d v="2025-05-23T00:00:00"/>
    <x v="0"/>
    <n v="973"/>
    <x v="4"/>
  </r>
  <r>
    <n v="629"/>
    <x v="1"/>
    <n v="0"/>
    <n v="400.35"/>
    <d v="2025-05-26T00:00:00"/>
    <x v="0"/>
    <n v="186"/>
    <x v="5"/>
  </r>
  <r>
    <n v="63"/>
    <x v="1"/>
    <n v="0"/>
    <n v="431.64"/>
    <d v="2025-05-04T00:00:00"/>
    <x v="0"/>
    <n v="35"/>
    <x v="0"/>
  </r>
  <r>
    <n v="630"/>
    <x v="0"/>
    <n v="0"/>
    <n v="466.2"/>
    <d v="2025-05-29T00:00:00"/>
    <x v="0"/>
    <n v="120"/>
    <x v="1"/>
  </r>
  <r>
    <n v="632"/>
    <x v="1"/>
    <n v="1"/>
    <n v="240.4"/>
    <d v="2025-05-16T00:00:00"/>
    <x v="0"/>
    <n v="144"/>
    <x v="1"/>
  </r>
  <r>
    <n v="635"/>
    <x v="1"/>
    <n v="0"/>
    <n v="347.37"/>
    <d v="2025-04-16T00:00:00"/>
    <x v="1"/>
    <n v="104"/>
    <x v="5"/>
  </r>
  <r>
    <n v="637"/>
    <x v="1"/>
    <n v="0"/>
    <n v="298.98"/>
    <d v="2025-04-18T00:00:00"/>
    <x v="1"/>
    <n v="37"/>
    <x v="5"/>
  </r>
  <r>
    <n v="639"/>
    <x v="0"/>
    <n v="0"/>
    <n v="499.62"/>
    <d v="2025-04-22T00:00:00"/>
    <x v="1"/>
    <n v="346"/>
    <x v="4"/>
  </r>
  <r>
    <n v="64"/>
    <x v="1"/>
    <n v="0"/>
    <n v="426.45"/>
    <d v="2025-05-21T00:00:00"/>
    <x v="0"/>
    <n v="795"/>
    <x v="1"/>
  </r>
  <r>
    <n v="640"/>
    <x v="1"/>
    <n v="0"/>
    <n v="521.41"/>
    <d v="2025-04-18T00:00:00"/>
    <x v="1"/>
    <n v="196"/>
    <x v="4"/>
  </r>
  <r>
    <n v="642"/>
    <x v="0"/>
    <n v="0"/>
    <n v="504.5"/>
    <d v="2025-05-19T00:00:00"/>
    <x v="0"/>
    <n v="796"/>
    <x v="5"/>
  </r>
  <r>
    <n v="643"/>
    <x v="0"/>
    <n v="0"/>
    <n v="506.83"/>
    <d v="2025-04-24T00:00:00"/>
    <x v="1"/>
    <n v="259"/>
    <x v="1"/>
  </r>
  <r>
    <n v="644"/>
    <x v="0"/>
    <n v="0"/>
    <n v="231.66"/>
    <d v="2025-04-04T00:00:00"/>
    <x v="1"/>
    <n v="374"/>
    <x v="4"/>
  </r>
  <r>
    <n v="645"/>
    <x v="0"/>
    <n v="0"/>
    <n v="640.26"/>
    <d v="2025-04-14T00:00:00"/>
    <x v="1"/>
    <n v="776"/>
    <x v="2"/>
  </r>
  <r>
    <n v="646"/>
    <x v="0"/>
    <n v="0"/>
    <n v="151.74"/>
    <d v="2025-05-14T00:00:00"/>
    <x v="0"/>
    <n v="396"/>
    <x v="5"/>
  </r>
  <r>
    <n v="647"/>
    <x v="0"/>
    <n v="0"/>
    <n v="379.16"/>
    <d v="2025-04-30T00:00:00"/>
    <x v="1"/>
    <n v="688"/>
    <x v="4"/>
  </r>
  <r>
    <n v="65"/>
    <x v="0"/>
    <n v="0"/>
    <n v="326.98"/>
    <d v="2025-06-05T00:00:00"/>
    <x v="2"/>
    <n v="168"/>
    <x v="0"/>
  </r>
  <r>
    <n v="651"/>
    <x v="0"/>
    <n v="0"/>
    <n v="501.78"/>
    <d v="2025-04-16T00:00:00"/>
    <x v="1"/>
    <n v="225"/>
    <x v="0"/>
  </r>
  <r>
    <n v="653"/>
    <x v="0"/>
    <n v="0"/>
    <n v="644.05999999999995"/>
    <d v="2025-05-21T00:00:00"/>
    <x v="0"/>
    <n v="168"/>
    <x v="0"/>
  </r>
  <r>
    <n v="654"/>
    <x v="1"/>
    <n v="0"/>
    <n v="328.98"/>
    <d v="2025-04-05T00:00:00"/>
    <x v="1"/>
    <n v="881"/>
    <x v="2"/>
  </r>
  <r>
    <n v="655"/>
    <x v="0"/>
    <n v="0"/>
    <n v="511.39"/>
    <d v="2025-04-24T00:00:00"/>
    <x v="1"/>
    <n v="16"/>
    <x v="1"/>
  </r>
  <r>
    <n v="658"/>
    <x v="1"/>
    <n v="0"/>
    <n v="374.25"/>
    <d v="2025-06-16T00:00:00"/>
    <x v="2"/>
    <n v="835"/>
    <x v="2"/>
  </r>
  <r>
    <n v="659"/>
    <x v="1"/>
    <n v="0"/>
    <n v="610.09"/>
    <d v="2025-04-17T00:00:00"/>
    <x v="1"/>
    <n v="656"/>
    <x v="1"/>
  </r>
  <r>
    <n v="660"/>
    <x v="1"/>
    <n v="0"/>
    <n v="368.79"/>
    <d v="2025-06-14T00:00:00"/>
    <x v="2"/>
    <n v="86"/>
    <x v="5"/>
  </r>
  <r>
    <n v="663"/>
    <x v="0"/>
    <n v="0"/>
    <n v="440.02"/>
    <d v="2025-06-04T00:00:00"/>
    <x v="2"/>
    <n v="780"/>
    <x v="2"/>
  </r>
  <r>
    <n v="664"/>
    <x v="1"/>
    <n v="0"/>
    <n v="353.01"/>
    <d v="2025-06-14T00:00:00"/>
    <x v="2"/>
    <n v="493"/>
    <x v="1"/>
  </r>
  <r>
    <n v="665"/>
    <x v="0"/>
    <n v="0"/>
    <n v="440.01"/>
    <d v="2025-04-13T00:00:00"/>
    <x v="1"/>
    <n v="477"/>
    <x v="3"/>
  </r>
  <r>
    <n v="666"/>
    <x v="0"/>
    <n v="0"/>
    <n v="236.19"/>
    <d v="2025-05-24T00:00:00"/>
    <x v="0"/>
    <n v="743"/>
    <x v="5"/>
  </r>
  <r>
    <n v="667"/>
    <x v="1"/>
    <n v="0"/>
    <n v="288.19"/>
    <d v="2025-04-15T00:00:00"/>
    <x v="1"/>
    <n v="218"/>
    <x v="1"/>
  </r>
  <r>
    <n v="668"/>
    <x v="0"/>
    <n v="0"/>
    <n v="321.60000000000002"/>
    <d v="2025-04-20T00:00:00"/>
    <x v="1"/>
    <n v="167"/>
    <x v="0"/>
  </r>
  <r>
    <n v="67"/>
    <x v="1"/>
    <n v="0"/>
    <n v="414.7"/>
    <d v="2025-04-04T00:00:00"/>
    <x v="1"/>
    <n v="128"/>
    <x v="5"/>
  </r>
  <r>
    <n v="670"/>
    <x v="1"/>
    <n v="0"/>
    <n v="173.7"/>
    <d v="2025-05-27T00:00:00"/>
    <x v="0"/>
    <n v="820"/>
    <x v="3"/>
  </r>
  <r>
    <n v="672"/>
    <x v="1"/>
    <n v="0"/>
    <n v="337.28"/>
    <d v="2025-04-25T00:00:00"/>
    <x v="1"/>
    <n v="807"/>
    <x v="1"/>
  </r>
  <r>
    <n v="675"/>
    <x v="0"/>
    <n v="0"/>
    <n v="102.61"/>
    <d v="2025-05-23T00:00:00"/>
    <x v="0"/>
    <n v="126"/>
    <x v="5"/>
  </r>
  <r>
    <n v="676"/>
    <x v="1"/>
    <n v="0"/>
    <n v="583.9"/>
    <d v="2025-05-20T00:00:00"/>
    <x v="0"/>
    <n v="254"/>
    <x v="4"/>
  </r>
  <r>
    <n v="677"/>
    <x v="0"/>
    <n v="0"/>
    <n v="112.89"/>
    <d v="2025-06-14T00:00:00"/>
    <x v="2"/>
    <n v="827"/>
    <x v="0"/>
  </r>
  <r>
    <n v="678"/>
    <x v="0"/>
    <n v="0"/>
    <n v="562.41999999999996"/>
    <d v="2025-05-04T00:00:00"/>
    <x v="0"/>
    <n v="37"/>
    <x v="5"/>
  </r>
  <r>
    <n v="68"/>
    <x v="0"/>
    <n v="0"/>
    <n v="740.54"/>
    <d v="2025-05-23T00:00:00"/>
    <x v="0"/>
    <n v="413"/>
    <x v="0"/>
  </r>
  <r>
    <n v="686"/>
    <x v="0"/>
    <n v="0"/>
    <n v="207.3"/>
    <d v="2025-05-30T00:00:00"/>
    <x v="0"/>
    <n v="25"/>
    <x v="4"/>
  </r>
  <r>
    <n v="689"/>
    <x v="1"/>
    <n v="0"/>
    <n v="405.34"/>
    <d v="2025-04-15T00:00:00"/>
    <x v="1"/>
    <n v="891"/>
    <x v="2"/>
  </r>
  <r>
    <n v="691"/>
    <x v="1"/>
    <n v="0"/>
    <n v="475.07"/>
    <d v="2025-06-17T00:00:00"/>
    <x v="2"/>
    <n v="33"/>
    <x v="4"/>
  </r>
  <r>
    <n v="694"/>
    <x v="1"/>
    <n v="0"/>
    <n v="183.33"/>
    <d v="2025-06-05T00:00:00"/>
    <x v="2"/>
    <n v="884"/>
    <x v="3"/>
  </r>
  <r>
    <n v="695"/>
    <x v="1"/>
    <n v="0"/>
    <n v="437.62"/>
    <d v="2025-04-24T00:00:00"/>
    <x v="1"/>
    <n v="634"/>
    <x v="2"/>
  </r>
  <r>
    <n v="698"/>
    <x v="0"/>
    <n v="0"/>
    <n v="260.26"/>
    <d v="2025-05-16T00:00:00"/>
    <x v="0"/>
    <n v="96"/>
    <x v="4"/>
  </r>
  <r>
    <n v="700"/>
    <x v="0"/>
    <n v="0"/>
    <n v="249.32"/>
    <d v="2025-05-26T00:00:00"/>
    <x v="0"/>
    <n v="801"/>
    <x v="5"/>
  </r>
  <r>
    <n v="701"/>
    <x v="1"/>
    <n v="0"/>
    <n v="340.18"/>
    <d v="2025-06-13T00:00:00"/>
    <x v="2"/>
    <n v="855"/>
    <x v="3"/>
  </r>
  <r>
    <n v="702"/>
    <x v="1"/>
    <n v="0"/>
    <n v="333.21"/>
    <d v="2025-05-29T00:00:00"/>
    <x v="0"/>
    <n v="764"/>
    <x v="0"/>
  </r>
  <r>
    <n v="703"/>
    <x v="0"/>
    <n v="0"/>
    <n v="472.8"/>
    <d v="2025-05-05T00:00:00"/>
    <x v="0"/>
    <n v="660"/>
    <x v="4"/>
  </r>
  <r>
    <n v="704"/>
    <x v="0"/>
    <n v="0"/>
    <n v="328.55"/>
    <d v="2025-05-18T00:00:00"/>
    <x v="0"/>
    <n v="418"/>
    <x v="0"/>
  </r>
  <r>
    <n v="705"/>
    <x v="0"/>
    <n v="0"/>
    <n v="190.64"/>
    <d v="2025-04-18T00:00:00"/>
    <x v="1"/>
    <n v="47"/>
    <x v="1"/>
  </r>
  <r>
    <n v="706"/>
    <x v="1"/>
    <n v="0"/>
    <n v="118.14"/>
    <d v="2025-05-05T00:00:00"/>
    <x v="0"/>
    <n v="268"/>
    <x v="1"/>
  </r>
  <r>
    <n v="707"/>
    <x v="0"/>
    <n v="0"/>
    <n v="89.46"/>
    <d v="2025-05-23T00:00:00"/>
    <x v="0"/>
    <n v="154"/>
    <x v="0"/>
  </r>
  <r>
    <n v="708"/>
    <x v="1"/>
    <n v="0"/>
    <n v="231.49"/>
    <d v="2025-04-16T00:00:00"/>
    <x v="1"/>
    <n v="951"/>
    <x v="2"/>
  </r>
  <r>
    <n v="709"/>
    <x v="1"/>
    <n v="0"/>
    <n v="284.08"/>
    <d v="2025-04-28T00:00:00"/>
    <x v="1"/>
    <n v="596"/>
    <x v="4"/>
  </r>
  <r>
    <n v="710"/>
    <x v="0"/>
    <n v="0"/>
    <n v="440.06"/>
    <d v="2025-06-17T00:00:00"/>
    <x v="2"/>
    <n v="826"/>
    <x v="2"/>
  </r>
  <r>
    <n v="711"/>
    <x v="1"/>
    <n v="0"/>
    <n v="226.56"/>
    <d v="2025-05-24T00:00:00"/>
    <x v="0"/>
    <n v="695"/>
    <x v="3"/>
  </r>
  <r>
    <n v="713"/>
    <x v="1"/>
    <n v="0"/>
    <n v="548.6"/>
    <d v="2025-05-06T00:00:00"/>
    <x v="0"/>
    <n v="253"/>
    <x v="0"/>
  </r>
  <r>
    <n v="714"/>
    <x v="1"/>
    <n v="0"/>
    <n v="181.1"/>
    <d v="2025-04-18T00:00:00"/>
    <x v="1"/>
    <n v="764"/>
    <x v="0"/>
  </r>
  <r>
    <n v="715"/>
    <x v="0"/>
    <n v="0"/>
    <n v="512.83000000000004"/>
    <d v="2025-06-15T00:00:00"/>
    <x v="2"/>
    <n v="830"/>
    <x v="4"/>
  </r>
  <r>
    <n v="716"/>
    <x v="0"/>
    <n v="0"/>
    <n v="483.65"/>
    <d v="2025-04-19T00:00:00"/>
    <x v="1"/>
    <n v="508"/>
    <x v="4"/>
  </r>
  <r>
    <n v="718"/>
    <x v="1"/>
    <n v="1"/>
    <n v="180.9"/>
    <d v="2025-05-17T00:00:00"/>
    <x v="0"/>
    <n v="952"/>
    <x v="4"/>
  </r>
  <r>
    <n v="719"/>
    <x v="0"/>
    <n v="0"/>
    <n v="381.98"/>
    <d v="2025-04-22T00:00:00"/>
    <x v="1"/>
    <n v="992"/>
    <x v="4"/>
  </r>
  <r>
    <n v="72"/>
    <x v="0"/>
    <n v="0"/>
    <n v="622.14"/>
    <d v="2025-05-19T00:00:00"/>
    <x v="0"/>
    <n v="710"/>
    <x v="0"/>
  </r>
  <r>
    <n v="722"/>
    <x v="1"/>
    <n v="0"/>
    <n v="238.35"/>
    <d v="2025-05-04T00:00:00"/>
    <x v="0"/>
    <n v="620"/>
    <x v="5"/>
  </r>
  <r>
    <n v="724"/>
    <x v="0"/>
    <n v="0"/>
    <n v="183.62"/>
    <d v="2025-05-30T00:00:00"/>
    <x v="0"/>
    <n v="227"/>
    <x v="0"/>
  </r>
  <r>
    <n v="725"/>
    <x v="1"/>
    <n v="0"/>
    <n v="401.53"/>
    <d v="2025-06-15T00:00:00"/>
    <x v="2"/>
    <n v="445"/>
    <x v="4"/>
  </r>
  <r>
    <n v="727"/>
    <x v="0"/>
    <n v="0"/>
    <n v="330.45"/>
    <d v="2025-04-22T00:00:00"/>
    <x v="1"/>
    <n v="834"/>
    <x v="5"/>
  </r>
  <r>
    <n v="728"/>
    <x v="1"/>
    <n v="1"/>
    <n v="309.68"/>
    <d v="2025-05-18T00:00:00"/>
    <x v="0"/>
    <n v="258"/>
    <x v="5"/>
  </r>
  <r>
    <n v="729"/>
    <x v="0"/>
    <n v="0"/>
    <n v="350.42"/>
    <d v="2025-04-27T00:00:00"/>
    <x v="1"/>
    <n v="190"/>
    <x v="4"/>
  </r>
  <r>
    <n v="73"/>
    <x v="0"/>
    <n v="0"/>
    <n v="453.55"/>
    <d v="2025-05-19T00:00:00"/>
    <x v="0"/>
    <n v="477"/>
    <x v="3"/>
  </r>
  <r>
    <n v="730"/>
    <x v="0"/>
    <n v="0"/>
    <n v="191.32"/>
    <d v="2025-05-19T00:00:00"/>
    <x v="0"/>
    <n v="53"/>
    <x v="4"/>
  </r>
  <r>
    <n v="736"/>
    <x v="0"/>
    <n v="0"/>
    <n v="572.20000000000005"/>
    <d v="2025-04-14T00:00:00"/>
    <x v="1"/>
    <n v="505"/>
    <x v="1"/>
  </r>
  <r>
    <n v="737"/>
    <x v="0"/>
    <n v="0"/>
    <n v="410.06"/>
    <d v="2025-04-22T00:00:00"/>
    <x v="1"/>
    <n v="802"/>
    <x v="3"/>
  </r>
  <r>
    <n v="739"/>
    <x v="1"/>
    <n v="0"/>
    <n v="350.65"/>
    <d v="2025-05-05T00:00:00"/>
    <x v="0"/>
    <n v="885"/>
    <x v="3"/>
  </r>
  <r>
    <n v="740"/>
    <x v="0"/>
    <n v="0"/>
    <n v="415.23"/>
    <d v="2025-04-29T00:00:00"/>
    <x v="1"/>
    <n v="370"/>
    <x v="5"/>
  </r>
  <r>
    <n v="742"/>
    <x v="1"/>
    <n v="0"/>
    <n v="227.27"/>
    <d v="2025-04-20T00:00:00"/>
    <x v="1"/>
    <n v="123"/>
    <x v="4"/>
  </r>
  <r>
    <n v="744"/>
    <x v="1"/>
    <n v="0"/>
    <n v="202.93"/>
    <d v="2025-06-06T00:00:00"/>
    <x v="2"/>
    <n v="736"/>
    <x v="1"/>
  </r>
  <r>
    <n v="745"/>
    <x v="0"/>
    <n v="0"/>
    <n v="120.29"/>
    <d v="2025-04-28T00:00:00"/>
    <x v="1"/>
    <n v="556"/>
    <x v="4"/>
  </r>
  <r>
    <n v="746"/>
    <x v="0"/>
    <n v="0"/>
    <n v="302.39999999999998"/>
    <d v="2025-05-16T00:00:00"/>
    <x v="0"/>
    <n v="522"/>
    <x v="3"/>
  </r>
  <r>
    <n v="747"/>
    <x v="1"/>
    <n v="0"/>
    <n v="250.93"/>
    <d v="2025-04-21T00:00:00"/>
    <x v="1"/>
    <n v="442"/>
    <x v="1"/>
  </r>
  <r>
    <n v="749"/>
    <x v="0"/>
    <n v="0"/>
    <n v="240.91"/>
    <d v="2025-04-26T00:00:00"/>
    <x v="1"/>
    <n v="993"/>
    <x v="1"/>
  </r>
  <r>
    <n v="75"/>
    <x v="1"/>
    <n v="0"/>
    <n v="526.82000000000005"/>
    <d v="2025-05-22T00:00:00"/>
    <x v="0"/>
    <n v="469"/>
    <x v="4"/>
  </r>
  <r>
    <n v="750"/>
    <x v="0"/>
    <n v="0"/>
    <n v="230.45"/>
    <d v="2025-04-16T00:00:00"/>
    <x v="1"/>
    <n v="665"/>
    <x v="2"/>
  </r>
  <r>
    <n v="751"/>
    <x v="0"/>
    <n v="0"/>
    <n v="342.96"/>
    <d v="2025-06-16T00:00:00"/>
    <x v="2"/>
    <n v="811"/>
    <x v="0"/>
  </r>
  <r>
    <n v="753"/>
    <x v="1"/>
    <n v="0"/>
    <n v="368.2"/>
    <d v="2025-04-05T00:00:00"/>
    <x v="1"/>
    <n v="684"/>
    <x v="5"/>
  </r>
  <r>
    <n v="755"/>
    <x v="1"/>
    <n v="0"/>
    <n v="298.02"/>
    <d v="2025-06-14T00:00:00"/>
    <x v="2"/>
    <n v="369"/>
    <x v="5"/>
  </r>
  <r>
    <n v="756"/>
    <x v="0"/>
    <n v="0"/>
    <n v="481.76"/>
    <d v="2025-06-13T00:00:00"/>
    <x v="2"/>
    <n v="499"/>
    <x v="0"/>
  </r>
  <r>
    <n v="757"/>
    <x v="0"/>
    <n v="0"/>
    <n v="309.83"/>
    <d v="2025-04-26T00:00:00"/>
    <x v="1"/>
    <n v="161"/>
    <x v="3"/>
  </r>
  <r>
    <n v="760"/>
    <x v="0"/>
    <n v="0"/>
    <n v="248.96"/>
    <d v="2025-04-04T00:00:00"/>
    <x v="1"/>
    <n v="172"/>
    <x v="4"/>
  </r>
  <r>
    <n v="761"/>
    <x v="0"/>
    <n v="0"/>
    <n v="232.67"/>
    <d v="2025-05-31T00:00:00"/>
    <x v="0"/>
    <n v="858"/>
    <x v="1"/>
  </r>
  <r>
    <n v="762"/>
    <x v="0"/>
    <n v="0"/>
    <n v="222.42"/>
    <d v="2025-06-13T00:00:00"/>
    <x v="2"/>
    <n v="76"/>
    <x v="1"/>
  </r>
  <r>
    <n v="763"/>
    <x v="0"/>
    <n v="0"/>
    <n v="301.16000000000003"/>
    <d v="2025-04-21T00:00:00"/>
    <x v="1"/>
    <n v="602"/>
    <x v="2"/>
  </r>
  <r>
    <n v="765"/>
    <x v="0"/>
    <n v="0"/>
    <n v="536.98"/>
    <d v="2025-04-20T00:00:00"/>
    <x v="1"/>
    <n v="417"/>
    <x v="3"/>
  </r>
  <r>
    <n v="766"/>
    <x v="1"/>
    <n v="0"/>
    <n v="399.31"/>
    <d v="2025-06-16T00:00:00"/>
    <x v="2"/>
    <n v="955"/>
    <x v="2"/>
  </r>
  <r>
    <n v="767"/>
    <x v="1"/>
    <n v="0"/>
    <n v="423.12"/>
    <d v="2025-04-19T00:00:00"/>
    <x v="1"/>
    <n v="427"/>
    <x v="3"/>
  </r>
  <r>
    <n v="768"/>
    <x v="0"/>
    <n v="0"/>
    <n v="220.42"/>
    <d v="2025-05-28T00:00:00"/>
    <x v="0"/>
    <n v="247"/>
    <x v="5"/>
  </r>
  <r>
    <n v="769"/>
    <x v="0"/>
    <n v="0"/>
    <n v="490.92"/>
    <d v="2025-05-05T00:00:00"/>
    <x v="0"/>
    <n v="501"/>
    <x v="4"/>
  </r>
  <r>
    <n v="770"/>
    <x v="0"/>
    <n v="0"/>
    <n v="430.6"/>
    <d v="2025-04-28T00:00:00"/>
    <x v="1"/>
    <n v="714"/>
    <x v="2"/>
  </r>
  <r>
    <n v="772"/>
    <x v="0"/>
    <n v="0"/>
    <n v="334.34"/>
    <d v="2025-04-28T00:00:00"/>
    <x v="1"/>
    <n v="970"/>
    <x v="1"/>
  </r>
  <r>
    <n v="774"/>
    <x v="1"/>
    <n v="0"/>
    <n v="335.05"/>
    <d v="2025-05-22T00:00:00"/>
    <x v="0"/>
    <n v="798"/>
    <x v="2"/>
  </r>
  <r>
    <n v="776"/>
    <x v="0"/>
    <n v="0"/>
    <n v="294.06"/>
    <d v="2025-05-18T00:00:00"/>
    <x v="0"/>
    <n v="361"/>
    <x v="5"/>
  </r>
  <r>
    <n v="777"/>
    <x v="0"/>
    <n v="0"/>
    <n v="310.70999999999998"/>
    <d v="2025-05-28T00:00:00"/>
    <x v="0"/>
    <n v="572"/>
    <x v="5"/>
  </r>
  <r>
    <n v="778"/>
    <x v="0"/>
    <n v="0"/>
    <n v="96.18"/>
    <d v="2025-04-13T00:00:00"/>
    <x v="1"/>
    <n v="548"/>
    <x v="1"/>
  </r>
  <r>
    <n v="779"/>
    <x v="1"/>
    <n v="0"/>
    <n v="194.09"/>
    <d v="2025-04-17T00:00:00"/>
    <x v="1"/>
    <n v="577"/>
    <x v="5"/>
  </r>
  <r>
    <n v="78"/>
    <x v="0"/>
    <n v="0"/>
    <n v="683.47"/>
    <d v="2025-05-18T00:00:00"/>
    <x v="0"/>
    <n v="321"/>
    <x v="1"/>
  </r>
  <r>
    <n v="780"/>
    <x v="1"/>
    <n v="0"/>
    <n v="242.5"/>
    <d v="2025-04-13T00:00:00"/>
    <x v="1"/>
    <n v="407"/>
    <x v="4"/>
  </r>
  <r>
    <n v="781"/>
    <x v="1"/>
    <n v="0"/>
    <n v="232.42"/>
    <d v="2025-04-23T00:00:00"/>
    <x v="1"/>
    <n v="639"/>
    <x v="4"/>
  </r>
  <r>
    <n v="782"/>
    <x v="1"/>
    <n v="0"/>
    <n v="400.44"/>
    <d v="2025-04-13T00:00:00"/>
    <x v="1"/>
    <n v="19"/>
    <x v="1"/>
  </r>
  <r>
    <n v="785"/>
    <x v="1"/>
    <n v="0"/>
    <n v="200.97"/>
    <d v="2025-05-31T00:00:00"/>
    <x v="0"/>
    <n v="393"/>
    <x v="0"/>
  </r>
  <r>
    <n v="787"/>
    <x v="0"/>
    <n v="0"/>
    <n v="282.36"/>
    <d v="2025-06-17T00:00:00"/>
    <x v="2"/>
    <n v="610"/>
    <x v="0"/>
  </r>
  <r>
    <n v="790"/>
    <x v="0"/>
    <n v="0"/>
    <n v="639.14"/>
    <d v="2025-04-19T00:00:00"/>
    <x v="1"/>
    <n v="829"/>
    <x v="2"/>
  </r>
  <r>
    <n v="794"/>
    <x v="1"/>
    <n v="0"/>
    <n v="230.88"/>
    <d v="2025-05-24T00:00:00"/>
    <x v="0"/>
    <n v="215"/>
    <x v="5"/>
  </r>
  <r>
    <n v="795"/>
    <x v="1"/>
    <n v="0"/>
    <n v="275.01"/>
    <d v="2025-04-21T00:00:00"/>
    <x v="1"/>
    <n v="741"/>
    <x v="2"/>
  </r>
  <r>
    <n v="796"/>
    <x v="1"/>
    <n v="0"/>
    <n v="186.54"/>
    <d v="2025-05-04T00:00:00"/>
    <x v="0"/>
    <n v="754"/>
    <x v="3"/>
  </r>
  <r>
    <n v="797"/>
    <x v="0"/>
    <n v="0"/>
    <n v="266.89999999999998"/>
    <d v="2025-05-21T00:00:00"/>
    <x v="0"/>
    <n v="657"/>
    <x v="4"/>
  </r>
  <r>
    <n v="798"/>
    <x v="0"/>
    <n v="0"/>
    <n v="341.26"/>
    <d v="2025-04-04T00:00:00"/>
    <x v="1"/>
    <n v="565"/>
    <x v="3"/>
  </r>
  <r>
    <n v="799"/>
    <x v="1"/>
    <n v="0"/>
    <n v="251.92"/>
    <d v="2025-04-16T00:00:00"/>
    <x v="1"/>
    <n v="897"/>
    <x v="0"/>
  </r>
  <r>
    <n v="8"/>
    <x v="1"/>
    <n v="0"/>
    <n v="408.13"/>
    <d v="2025-05-26T00:00:00"/>
    <x v="0"/>
    <n v="277"/>
    <x v="4"/>
  </r>
  <r>
    <n v="80"/>
    <x v="0"/>
    <n v="0"/>
    <n v="369.31"/>
    <d v="2025-05-25T00:00:00"/>
    <x v="0"/>
    <n v="735"/>
    <x v="0"/>
  </r>
  <r>
    <n v="800"/>
    <x v="0"/>
    <n v="0"/>
    <n v="555.4"/>
    <d v="2025-05-24T00:00:00"/>
    <x v="0"/>
    <n v="96"/>
    <x v="4"/>
  </r>
  <r>
    <n v="801"/>
    <x v="0"/>
    <n v="0"/>
    <n v="476.87"/>
    <d v="2025-04-04T00:00:00"/>
    <x v="1"/>
    <n v="876"/>
    <x v="4"/>
  </r>
  <r>
    <n v="802"/>
    <x v="1"/>
    <n v="0"/>
    <n v="456.18"/>
    <d v="2025-04-30T00:00:00"/>
    <x v="1"/>
    <n v="920"/>
    <x v="3"/>
  </r>
  <r>
    <n v="808"/>
    <x v="0"/>
    <n v="0"/>
    <n v="168.3"/>
    <d v="2025-04-27T00:00:00"/>
    <x v="1"/>
    <n v="153"/>
    <x v="0"/>
  </r>
  <r>
    <n v="81"/>
    <x v="1"/>
    <n v="1"/>
    <n v="449.17"/>
    <d v="2025-05-18T00:00:00"/>
    <x v="0"/>
    <n v="130"/>
    <x v="1"/>
  </r>
  <r>
    <n v="810"/>
    <x v="1"/>
    <n v="0"/>
    <n v="319.98"/>
    <d v="2025-06-16T00:00:00"/>
    <x v="2"/>
    <n v="913"/>
    <x v="2"/>
  </r>
  <r>
    <n v="811"/>
    <x v="1"/>
    <n v="0"/>
    <n v="427.27"/>
    <d v="2025-04-27T00:00:00"/>
    <x v="1"/>
    <n v="29"/>
    <x v="3"/>
  </r>
  <r>
    <n v="812"/>
    <x v="0"/>
    <n v="0"/>
    <n v="246.26"/>
    <d v="2025-04-21T00:00:00"/>
    <x v="1"/>
    <n v="256"/>
    <x v="4"/>
  </r>
  <r>
    <n v="815"/>
    <x v="1"/>
    <n v="0"/>
    <n v="160.88999999999999"/>
    <d v="2025-04-27T00:00:00"/>
    <x v="1"/>
    <n v="506"/>
    <x v="0"/>
  </r>
  <r>
    <n v="816"/>
    <x v="1"/>
    <n v="1"/>
    <n v="160.13999999999999"/>
    <d v="2025-05-15T00:00:00"/>
    <x v="0"/>
    <n v="456"/>
    <x v="4"/>
  </r>
  <r>
    <n v="817"/>
    <x v="0"/>
    <n v="1"/>
    <n v="67.02"/>
    <d v="2025-05-06T00:00:00"/>
    <x v="0"/>
    <n v="485"/>
    <x v="5"/>
  </r>
  <r>
    <n v="818"/>
    <x v="0"/>
    <n v="0"/>
    <n v="250.7"/>
    <d v="2025-06-16T00:00:00"/>
    <x v="2"/>
    <n v="473"/>
    <x v="0"/>
  </r>
  <r>
    <n v="819"/>
    <x v="0"/>
    <n v="0"/>
    <n v="143.36000000000001"/>
    <d v="2025-04-26T00:00:00"/>
    <x v="1"/>
    <n v="653"/>
    <x v="2"/>
  </r>
  <r>
    <n v="82"/>
    <x v="0"/>
    <n v="0"/>
    <n v="753.88"/>
    <d v="2025-04-14T00:00:00"/>
    <x v="1"/>
    <n v="872"/>
    <x v="5"/>
  </r>
  <r>
    <n v="820"/>
    <x v="0"/>
    <n v="0"/>
    <n v="463.74"/>
    <d v="2025-04-20T00:00:00"/>
    <x v="1"/>
    <n v="280"/>
    <x v="1"/>
  </r>
  <r>
    <n v="821"/>
    <x v="1"/>
    <n v="1"/>
    <n v="262.23"/>
    <d v="2025-05-14T00:00:00"/>
    <x v="0"/>
    <n v="233"/>
    <x v="0"/>
  </r>
  <r>
    <n v="822"/>
    <x v="1"/>
    <n v="1"/>
    <n v="202.69"/>
    <d v="2025-05-18T00:00:00"/>
    <x v="0"/>
    <n v="690"/>
    <x v="3"/>
  </r>
  <r>
    <n v="823"/>
    <x v="1"/>
    <n v="0"/>
    <n v="480.96"/>
    <d v="2025-04-24T00:00:00"/>
    <x v="1"/>
    <n v="323"/>
    <x v="5"/>
  </r>
  <r>
    <n v="824"/>
    <x v="0"/>
    <n v="0"/>
    <n v="223.28"/>
    <d v="2025-05-05T00:00:00"/>
    <x v="0"/>
    <n v="604"/>
    <x v="4"/>
  </r>
  <r>
    <n v="825"/>
    <x v="1"/>
    <n v="1"/>
    <n v="295.16000000000003"/>
    <d v="2025-05-13T00:00:00"/>
    <x v="0"/>
    <n v="643"/>
    <x v="2"/>
  </r>
  <r>
    <n v="827"/>
    <x v="0"/>
    <n v="0"/>
    <n v="251.9"/>
    <d v="2025-06-14T00:00:00"/>
    <x v="2"/>
    <n v="253"/>
    <x v="0"/>
  </r>
  <r>
    <n v="830"/>
    <x v="1"/>
    <n v="0"/>
    <n v="226.8"/>
    <d v="2025-06-14T00:00:00"/>
    <x v="2"/>
    <n v="659"/>
    <x v="2"/>
  </r>
  <r>
    <n v="832"/>
    <x v="0"/>
    <n v="0"/>
    <n v="266.58"/>
    <d v="2025-04-23T00:00:00"/>
    <x v="1"/>
    <n v="570"/>
    <x v="3"/>
  </r>
  <r>
    <n v="833"/>
    <x v="0"/>
    <n v="0"/>
    <n v="217.91"/>
    <d v="2025-04-29T00:00:00"/>
    <x v="1"/>
    <n v="511"/>
    <x v="0"/>
  </r>
  <r>
    <n v="834"/>
    <x v="1"/>
    <n v="0"/>
    <n v="196.52"/>
    <d v="2025-06-17T00:00:00"/>
    <x v="2"/>
    <n v="626"/>
    <x v="4"/>
  </r>
  <r>
    <n v="837"/>
    <x v="0"/>
    <n v="0"/>
    <n v="570.97"/>
    <d v="2025-05-05T00:00:00"/>
    <x v="0"/>
    <n v="453"/>
    <x v="0"/>
  </r>
  <r>
    <n v="838"/>
    <x v="0"/>
    <n v="0"/>
    <n v="348.02"/>
    <d v="2025-05-27T00:00:00"/>
    <x v="0"/>
    <n v="903"/>
    <x v="3"/>
  </r>
  <r>
    <n v="839"/>
    <x v="1"/>
    <n v="0"/>
    <n v="182.98"/>
    <d v="2025-05-31T00:00:00"/>
    <x v="0"/>
    <n v="935"/>
    <x v="4"/>
  </r>
  <r>
    <n v="84"/>
    <x v="0"/>
    <n v="0"/>
    <n v="519.80999999999995"/>
    <d v="2025-05-17T00:00:00"/>
    <x v="0"/>
    <n v="932"/>
    <x v="0"/>
  </r>
  <r>
    <n v="842"/>
    <x v="1"/>
    <n v="0"/>
    <n v="181.08"/>
    <d v="2025-04-21T00:00:00"/>
    <x v="1"/>
    <n v="636"/>
    <x v="3"/>
  </r>
  <r>
    <n v="843"/>
    <x v="1"/>
    <n v="0"/>
    <n v="232.34"/>
    <d v="2025-06-06T00:00:00"/>
    <x v="2"/>
    <n v="551"/>
    <x v="0"/>
  </r>
  <r>
    <n v="844"/>
    <x v="0"/>
    <n v="0"/>
    <n v="233.87"/>
    <d v="2025-05-25T00:00:00"/>
    <x v="0"/>
    <n v="802"/>
    <x v="3"/>
  </r>
  <r>
    <n v="845"/>
    <x v="0"/>
    <n v="0"/>
    <n v="310.35000000000002"/>
    <d v="2025-05-26T00:00:00"/>
    <x v="0"/>
    <n v="612"/>
    <x v="4"/>
  </r>
  <r>
    <n v="846"/>
    <x v="1"/>
    <n v="0"/>
    <n v="425.02"/>
    <d v="2025-04-17T00:00:00"/>
    <x v="1"/>
    <n v="541"/>
    <x v="0"/>
  </r>
  <r>
    <n v="848"/>
    <x v="1"/>
    <n v="0"/>
    <n v="181.08"/>
    <d v="2025-06-06T00:00:00"/>
    <x v="2"/>
    <n v="500"/>
    <x v="1"/>
  </r>
  <r>
    <n v="849"/>
    <x v="0"/>
    <n v="1"/>
    <n v="167.31"/>
    <d v="2025-06-06T00:00:00"/>
    <x v="2"/>
    <n v="869"/>
    <x v="5"/>
  </r>
  <r>
    <n v="85"/>
    <x v="0"/>
    <n v="0"/>
    <n v="410.73"/>
    <d v="2025-05-15T00:00:00"/>
    <x v="0"/>
    <n v="344"/>
    <x v="5"/>
  </r>
  <r>
    <n v="850"/>
    <x v="0"/>
    <n v="0"/>
    <n v="472.29"/>
    <d v="2025-04-19T00:00:00"/>
    <x v="1"/>
    <n v="658"/>
    <x v="4"/>
  </r>
  <r>
    <n v="852"/>
    <x v="1"/>
    <n v="0"/>
    <n v="387.92"/>
    <d v="2025-04-23T00:00:00"/>
    <x v="1"/>
    <n v="745"/>
    <x v="4"/>
  </r>
  <r>
    <n v="853"/>
    <x v="1"/>
    <n v="0"/>
    <n v="150.6"/>
    <d v="2025-04-28T00:00:00"/>
    <x v="1"/>
    <n v="883"/>
    <x v="4"/>
  </r>
  <r>
    <n v="854"/>
    <x v="0"/>
    <n v="0"/>
    <n v="255.78"/>
    <d v="2025-04-16T00:00:00"/>
    <x v="1"/>
    <n v="254"/>
    <x v="4"/>
  </r>
  <r>
    <n v="855"/>
    <x v="1"/>
    <n v="0"/>
    <n v="390.32"/>
    <d v="2025-05-21T00:00:00"/>
    <x v="0"/>
    <n v="710"/>
    <x v="0"/>
  </r>
  <r>
    <n v="856"/>
    <x v="0"/>
    <n v="0"/>
    <n v="206.9"/>
    <d v="2025-04-17T00:00:00"/>
    <x v="1"/>
    <n v="648"/>
    <x v="1"/>
  </r>
  <r>
    <n v="857"/>
    <x v="1"/>
    <n v="0"/>
    <n v="377.18"/>
    <d v="2025-04-16T00:00:00"/>
    <x v="1"/>
    <n v="133"/>
    <x v="0"/>
  </r>
  <r>
    <n v="858"/>
    <x v="0"/>
    <n v="0"/>
    <n v="142.03"/>
    <d v="2025-05-14T00:00:00"/>
    <x v="0"/>
    <n v="659"/>
    <x v="2"/>
  </r>
  <r>
    <n v="859"/>
    <x v="0"/>
    <n v="0"/>
    <n v="289.32"/>
    <d v="2025-05-22T00:00:00"/>
    <x v="0"/>
    <n v="39"/>
    <x v="0"/>
  </r>
  <r>
    <n v="86"/>
    <x v="1"/>
    <n v="0"/>
    <n v="709.19"/>
    <d v="2025-06-15T00:00:00"/>
    <x v="2"/>
    <n v="453"/>
    <x v="0"/>
  </r>
  <r>
    <n v="861"/>
    <x v="0"/>
    <n v="0"/>
    <n v="406.56"/>
    <d v="2025-04-21T00:00:00"/>
    <x v="1"/>
    <n v="99"/>
    <x v="3"/>
  </r>
  <r>
    <n v="862"/>
    <x v="1"/>
    <n v="0"/>
    <n v="233.9"/>
    <d v="2025-06-06T00:00:00"/>
    <x v="2"/>
    <n v="912"/>
    <x v="1"/>
  </r>
  <r>
    <n v="863"/>
    <x v="0"/>
    <n v="0"/>
    <n v="384.64"/>
    <d v="2025-04-17T00:00:00"/>
    <x v="1"/>
    <n v="39"/>
    <x v="0"/>
  </r>
  <r>
    <n v="864"/>
    <x v="0"/>
    <n v="1"/>
    <n v="282.2"/>
    <d v="2025-04-06T00:00:00"/>
    <x v="1"/>
    <n v="867"/>
    <x v="0"/>
  </r>
  <r>
    <n v="865"/>
    <x v="0"/>
    <n v="0"/>
    <n v="362.23"/>
    <d v="2025-05-29T00:00:00"/>
    <x v="0"/>
    <n v="117"/>
    <x v="1"/>
  </r>
  <r>
    <n v="866"/>
    <x v="1"/>
    <n v="0"/>
    <n v="411.3"/>
    <d v="2025-04-23T00:00:00"/>
    <x v="1"/>
    <n v="796"/>
    <x v="5"/>
  </r>
  <r>
    <n v="868"/>
    <x v="1"/>
    <n v="0"/>
    <n v="66.930000000000007"/>
    <d v="2025-05-24T00:00:00"/>
    <x v="0"/>
    <n v="394"/>
    <x v="3"/>
  </r>
  <r>
    <n v="87"/>
    <x v="0"/>
    <n v="0"/>
    <n v="350.92"/>
    <d v="2025-04-14T00:00:00"/>
    <x v="1"/>
    <n v="863"/>
    <x v="1"/>
  </r>
  <r>
    <n v="870"/>
    <x v="1"/>
    <n v="0"/>
    <n v="363.72"/>
    <d v="2025-05-28T00:00:00"/>
    <x v="0"/>
    <n v="386"/>
    <x v="0"/>
  </r>
  <r>
    <n v="871"/>
    <x v="0"/>
    <n v="0"/>
    <n v="381.21"/>
    <d v="2025-04-05T00:00:00"/>
    <x v="1"/>
    <n v="996"/>
    <x v="1"/>
  </r>
  <r>
    <n v="872"/>
    <x v="0"/>
    <n v="1"/>
    <n v="116.41"/>
    <d v="2025-04-06T00:00:00"/>
    <x v="1"/>
    <n v="471"/>
    <x v="5"/>
  </r>
  <r>
    <n v="873"/>
    <x v="0"/>
    <n v="0"/>
    <n v="263.07"/>
    <d v="2025-05-22T00:00:00"/>
    <x v="0"/>
    <n v="872"/>
    <x v="5"/>
  </r>
  <r>
    <n v="874"/>
    <x v="0"/>
    <n v="0"/>
    <n v="259.33"/>
    <d v="2025-06-16T00:00:00"/>
    <x v="2"/>
    <n v="531"/>
    <x v="3"/>
  </r>
  <r>
    <n v="875"/>
    <x v="1"/>
    <n v="1"/>
    <n v="161.27000000000001"/>
    <d v="2025-05-17T00:00:00"/>
    <x v="0"/>
    <n v="54"/>
    <x v="4"/>
  </r>
  <r>
    <n v="876"/>
    <x v="1"/>
    <n v="0"/>
    <n v="142.9"/>
    <d v="2025-04-23T00:00:00"/>
    <x v="1"/>
    <n v="513"/>
    <x v="0"/>
  </r>
  <r>
    <n v="878"/>
    <x v="0"/>
    <n v="0"/>
    <n v="309.83"/>
    <d v="2025-04-16T00:00:00"/>
    <x v="1"/>
    <n v="800"/>
    <x v="5"/>
  </r>
  <r>
    <n v="879"/>
    <x v="0"/>
    <n v="0"/>
    <n v="206.99"/>
    <d v="2025-04-27T00:00:00"/>
    <x v="1"/>
    <n v="387"/>
    <x v="0"/>
  </r>
  <r>
    <n v="88"/>
    <x v="1"/>
    <n v="0"/>
    <n v="577.9"/>
    <d v="2025-04-13T00:00:00"/>
    <x v="1"/>
    <n v="569"/>
    <x v="0"/>
  </r>
  <r>
    <n v="880"/>
    <x v="1"/>
    <n v="0"/>
    <n v="242.44"/>
    <d v="2025-04-19T00:00:00"/>
    <x v="1"/>
    <n v="380"/>
    <x v="4"/>
  </r>
  <r>
    <n v="882"/>
    <x v="1"/>
    <n v="0"/>
    <n v="88.11"/>
    <d v="2025-06-15T00:00:00"/>
    <x v="2"/>
    <n v="634"/>
    <x v="2"/>
  </r>
  <r>
    <n v="883"/>
    <x v="1"/>
    <n v="0"/>
    <n v="422.95"/>
    <d v="2025-05-21T00:00:00"/>
    <x v="0"/>
    <n v="659"/>
    <x v="2"/>
  </r>
  <r>
    <n v="884"/>
    <x v="1"/>
    <n v="0"/>
    <n v="402.96"/>
    <d v="2025-06-04T00:00:00"/>
    <x v="2"/>
    <n v="609"/>
    <x v="4"/>
  </r>
  <r>
    <n v="885"/>
    <x v="1"/>
    <n v="0"/>
    <n v="273.51"/>
    <d v="2025-04-22T00:00:00"/>
    <x v="1"/>
    <n v="922"/>
    <x v="3"/>
  </r>
  <r>
    <n v="886"/>
    <x v="0"/>
    <n v="0"/>
    <n v="240.1"/>
    <d v="2025-05-25T00:00:00"/>
    <x v="0"/>
    <n v="53"/>
    <x v="4"/>
  </r>
  <r>
    <n v="89"/>
    <x v="0"/>
    <n v="0"/>
    <n v="312.2"/>
    <d v="2025-04-25T00:00:00"/>
    <x v="1"/>
    <n v="46"/>
    <x v="1"/>
  </r>
  <r>
    <n v="890"/>
    <x v="0"/>
    <n v="0"/>
    <n v="323.23"/>
    <d v="2025-04-18T00:00:00"/>
    <x v="1"/>
    <n v="625"/>
    <x v="2"/>
  </r>
  <r>
    <n v="895"/>
    <x v="1"/>
    <n v="0"/>
    <n v="61.09"/>
    <d v="2025-05-31T00:00:00"/>
    <x v="0"/>
    <n v="711"/>
    <x v="0"/>
  </r>
  <r>
    <n v="896"/>
    <x v="1"/>
    <n v="1"/>
    <n v="182.89"/>
    <d v="2025-05-16T00:00:00"/>
    <x v="0"/>
    <n v="9"/>
    <x v="3"/>
  </r>
  <r>
    <n v="899"/>
    <x v="1"/>
    <n v="0"/>
    <n v="291.04000000000002"/>
    <d v="2025-05-24T00:00:00"/>
    <x v="0"/>
    <n v="339"/>
    <x v="0"/>
  </r>
  <r>
    <n v="90"/>
    <x v="0"/>
    <n v="0"/>
    <n v="377.12"/>
    <d v="2025-05-26T00:00:00"/>
    <x v="0"/>
    <n v="2"/>
    <x v="0"/>
  </r>
  <r>
    <n v="902"/>
    <x v="1"/>
    <n v="0"/>
    <n v="305.5"/>
    <d v="2025-05-29T00:00:00"/>
    <x v="0"/>
    <n v="656"/>
    <x v="1"/>
  </r>
  <r>
    <n v="903"/>
    <x v="1"/>
    <n v="0"/>
    <n v="446.43"/>
    <d v="2025-04-19T00:00:00"/>
    <x v="1"/>
    <n v="727"/>
    <x v="2"/>
  </r>
  <r>
    <n v="904"/>
    <x v="0"/>
    <n v="0"/>
    <n v="222.07"/>
    <d v="2025-05-05T00:00:00"/>
    <x v="0"/>
    <n v="699"/>
    <x v="5"/>
  </r>
  <r>
    <n v="905"/>
    <x v="1"/>
    <n v="0"/>
    <n v="133.9"/>
    <d v="2025-05-30T00:00:00"/>
    <x v="0"/>
    <n v="422"/>
    <x v="5"/>
  </r>
  <r>
    <n v="906"/>
    <x v="0"/>
    <n v="0"/>
    <n v="297.44"/>
    <d v="2025-04-28T00:00:00"/>
    <x v="1"/>
    <n v="664"/>
    <x v="0"/>
  </r>
  <r>
    <n v="907"/>
    <x v="0"/>
    <n v="0"/>
    <n v="247.13"/>
    <d v="2025-04-18T00:00:00"/>
    <x v="1"/>
    <n v="113"/>
    <x v="1"/>
  </r>
  <r>
    <n v="908"/>
    <x v="1"/>
    <n v="0"/>
    <n v="224.36"/>
    <d v="2025-04-26T00:00:00"/>
    <x v="1"/>
    <n v="196"/>
    <x v="4"/>
  </r>
  <r>
    <n v="909"/>
    <x v="1"/>
    <n v="0"/>
    <n v="461.34"/>
    <d v="2025-04-22T00:00:00"/>
    <x v="1"/>
    <n v="739"/>
    <x v="2"/>
  </r>
  <r>
    <n v="912"/>
    <x v="0"/>
    <n v="1"/>
    <n v="113.2"/>
    <d v="2025-04-06T00:00:00"/>
    <x v="1"/>
    <n v="39"/>
    <x v="0"/>
  </r>
  <r>
    <n v="913"/>
    <x v="1"/>
    <n v="0"/>
    <n v="303.24"/>
    <d v="2025-05-27T00:00:00"/>
    <x v="0"/>
    <n v="729"/>
    <x v="2"/>
  </r>
  <r>
    <n v="914"/>
    <x v="1"/>
    <n v="0"/>
    <n v="461.95"/>
    <d v="2025-05-25T00:00:00"/>
    <x v="0"/>
    <n v="684"/>
    <x v="5"/>
  </r>
  <r>
    <n v="915"/>
    <x v="0"/>
    <n v="0"/>
    <n v="241.74"/>
    <d v="2025-04-20T00:00:00"/>
    <x v="1"/>
    <n v="672"/>
    <x v="1"/>
  </r>
  <r>
    <n v="916"/>
    <x v="1"/>
    <n v="1"/>
    <n v="245.94"/>
    <d v="2025-05-18T00:00:00"/>
    <x v="0"/>
    <n v="342"/>
    <x v="5"/>
  </r>
  <r>
    <n v="918"/>
    <x v="0"/>
    <n v="0"/>
    <n v="256.76"/>
    <d v="2025-04-15T00:00:00"/>
    <x v="1"/>
    <n v="226"/>
    <x v="5"/>
  </r>
  <r>
    <n v="92"/>
    <x v="1"/>
    <n v="0"/>
    <n v="611.46"/>
    <d v="2025-05-30T00:00:00"/>
    <x v="0"/>
    <n v="691"/>
    <x v="4"/>
  </r>
  <r>
    <n v="921"/>
    <x v="1"/>
    <n v="1"/>
    <n v="117.84"/>
    <d v="2025-05-19T00:00:00"/>
    <x v="0"/>
    <n v="283"/>
    <x v="0"/>
  </r>
  <r>
    <n v="922"/>
    <x v="0"/>
    <n v="0"/>
    <n v="342.07"/>
    <d v="2025-05-23T00:00:00"/>
    <x v="0"/>
    <n v="246"/>
    <x v="3"/>
  </r>
  <r>
    <n v="924"/>
    <x v="0"/>
    <n v="0"/>
    <n v="430.55"/>
    <d v="2025-05-04T00:00:00"/>
    <x v="0"/>
    <n v="74"/>
    <x v="0"/>
  </r>
  <r>
    <n v="925"/>
    <x v="0"/>
    <n v="0"/>
    <n v="343.79"/>
    <d v="2025-04-24T00:00:00"/>
    <x v="1"/>
    <n v="692"/>
    <x v="0"/>
  </r>
  <r>
    <n v="926"/>
    <x v="0"/>
    <n v="0"/>
    <n v="110.78"/>
    <d v="2025-05-29T00:00:00"/>
    <x v="0"/>
    <n v="393"/>
    <x v="0"/>
  </r>
  <r>
    <n v="927"/>
    <x v="1"/>
    <n v="0"/>
    <n v="371.36"/>
    <d v="2025-06-15T00:00:00"/>
    <x v="2"/>
    <n v="233"/>
    <x v="0"/>
  </r>
  <r>
    <n v="931"/>
    <x v="0"/>
    <n v="0"/>
    <n v="270.18"/>
    <d v="2025-06-17T00:00:00"/>
    <x v="2"/>
    <n v="269"/>
    <x v="3"/>
  </r>
  <r>
    <n v="932"/>
    <x v="1"/>
    <n v="0"/>
    <n v="317.29000000000002"/>
    <d v="2025-06-14T00:00:00"/>
    <x v="2"/>
    <n v="323"/>
    <x v="5"/>
  </r>
  <r>
    <n v="934"/>
    <x v="0"/>
    <n v="0"/>
    <n v="146.03"/>
    <d v="2025-05-16T00:00:00"/>
    <x v="0"/>
    <n v="506"/>
    <x v="0"/>
  </r>
  <r>
    <n v="937"/>
    <x v="1"/>
    <n v="0"/>
    <n v="293.27999999999997"/>
    <d v="2025-06-16T00:00:00"/>
    <x v="2"/>
    <n v="649"/>
    <x v="4"/>
  </r>
  <r>
    <n v="938"/>
    <x v="0"/>
    <n v="0"/>
    <n v="360.58"/>
    <d v="2025-05-19T00:00:00"/>
    <x v="0"/>
    <n v="42"/>
    <x v="3"/>
  </r>
  <r>
    <n v="94"/>
    <x v="0"/>
    <n v="0"/>
    <n v="396.88"/>
    <d v="2025-04-13T00:00:00"/>
    <x v="1"/>
    <n v="165"/>
    <x v="0"/>
  </r>
  <r>
    <n v="940"/>
    <x v="1"/>
    <n v="0"/>
    <n v="268.77"/>
    <d v="2025-04-21T00:00:00"/>
    <x v="1"/>
    <n v="988"/>
    <x v="2"/>
  </r>
  <r>
    <n v="942"/>
    <x v="0"/>
    <n v="0"/>
    <n v="376.17"/>
    <d v="2025-04-29T00:00:00"/>
    <x v="1"/>
    <n v="75"/>
    <x v="4"/>
  </r>
  <r>
    <n v="943"/>
    <x v="1"/>
    <n v="1"/>
    <n v="210.59"/>
    <d v="2025-05-16T00:00:00"/>
    <x v="0"/>
    <n v="230"/>
    <x v="0"/>
  </r>
  <r>
    <n v="944"/>
    <x v="0"/>
    <n v="0"/>
    <n v="246.83"/>
    <d v="2025-06-14T00:00:00"/>
    <x v="2"/>
    <n v="173"/>
    <x v="1"/>
  </r>
  <r>
    <n v="945"/>
    <x v="0"/>
    <n v="0"/>
    <n v="295.02"/>
    <d v="2025-04-17T00:00:00"/>
    <x v="1"/>
    <n v="304"/>
    <x v="0"/>
  </r>
  <r>
    <n v="946"/>
    <x v="1"/>
    <n v="0"/>
    <n v="192.66"/>
    <d v="2025-04-16T00:00:00"/>
    <x v="1"/>
    <n v="289"/>
    <x v="5"/>
  </r>
  <r>
    <n v="947"/>
    <x v="0"/>
    <n v="0"/>
    <n v="97.73"/>
    <d v="2025-06-16T00:00:00"/>
    <x v="2"/>
    <n v="127"/>
    <x v="5"/>
  </r>
  <r>
    <n v="949"/>
    <x v="0"/>
    <n v="0"/>
    <n v="87.45"/>
    <d v="2025-05-30T00:00:00"/>
    <x v="0"/>
    <n v="91"/>
    <x v="5"/>
  </r>
  <r>
    <n v="950"/>
    <x v="0"/>
    <n v="0"/>
    <n v="524.09"/>
    <d v="2025-05-27T00:00:00"/>
    <x v="0"/>
    <n v="935"/>
    <x v="4"/>
  </r>
  <r>
    <n v="952"/>
    <x v="0"/>
    <n v="0"/>
    <n v="258.61"/>
    <d v="2025-04-25T00:00:00"/>
    <x v="1"/>
    <n v="252"/>
    <x v="4"/>
  </r>
  <r>
    <n v="953"/>
    <x v="1"/>
    <n v="0"/>
    <n v="532.29999999999995"/>
    <d v="2025-04-16T00:00:00"/>
    <x v="1"/>
    <n v="400"/>
    <x v="5"/>
  </r>
  <r>
    <n v="955"/>
    <x v="1"/>
    <n v="0"/>
    <n v="490.7"/>
    <d v="2025-05-25T00:00:00"/>
    <x v="0"/>
    <n v="936"/>
    <x v="5"/>
  </r>
  <r>
    <n v="956"/>
    <x v="1"/>
    <n v="0"/>
    <n v="166.11"/>
    <d v="2025-05-31T00:00:00"/>
    <x v="0"/>
    <n v="456"/>
    <x v="4"/>
  </r>
  <r>
    <n v="957"/>
    <x v="1"/>
    <n v="1"/>
    <n v="212.16"/>
    <d v="2025-05-15T00:00:00"/>
    <x v="0"/>
    <n v="181"/>
    <x v="4"/>
  </r>
  <r>
    <n v="958"/>
    <x v="0"/>
    <n v="0"/>
    <n v="68.31"/>
    <d v="2025-05-22T00:00:00"/>
    <x v="0"/>
    <n v="958"/>
    <x v="1"/>
  </r>
  <r>
    <n v="959"/>
    <x v="0"/>
    <n v="0"/>
    <n v="167.82"/>
    <d v="2025-05-04T00:00:00"/>
    <x v="0"/>
    <n v="959"/>
    <x v="3"/>
  </r>
  <r>
    <n v="96"/>
    <x v="0"/>
    <n v="0"/>
    <n v="522.01"/>
    <d v="2025-04-20T00:00:00"/>
    <x v="1"/>
    <n v="135"/>
    <x v="0"/>
  </r>
  <r>
    <n v="960"/>
    <x v="0"/>
    <n v="0"/>
    <n v="223.28"/>
    <d v="2025-05-28T00:00:00"/>
    <x v="0"/>
    <n v="237"/>
    <x v="1"/>
  </r>
  <r>
    <n v="961"/>
    <x v="0"/>
    <n v="0"/>
    <n v="282.52999999999997"/>
    <d v="2025-06-17T00:00:00"/>
    <x v="2"/>
    <n v="613"/>
    <x v="5"/>
  </r>
  <r>
    <n v="963"/>
    <x v="0"/>
    <n v="0"/>
    <n v="173.16"/>
    <d v="2025-06-04T00:00:00"/>
    <x v="2"/>
    <n v="342"/>
    <x v="5"/>
  </r>
  <r>
    <n v="965"/>
    <x v="0"/>
    <n v="0"/>
    <n v="316.76"/>
    <d v="2025-05-27T00:00:00"/>
    <x v="0"/>
    <n v="988"/>
    <x v="2"/>
  </r>
  <r>
    <n v="966"/>
    <x v="0"/>
    <n v="0"/>
    <n v="200.11"/>
    <d v="2025-05-17T00:00:00"/>
    <x v="0"/>
    <n v="326"/>
    <x v="4"/>
  </r>
  <r>
    <n v="967"/>
    <x v="1"/>
    <n v="0"/>
    <n v="281.54000000000002"/>
    <d v="2025-04-26T00:00:00"/>
    <x v="1"/>
    <n v="496"/>
    <x v="4"/>
  </r>
  <r>
    <n v="968"/>
    <x v="0"/>
    <n v="0"/>
    <n v="484.9"/>
    <d v="2025-06-13T00:00:00"/>
    <x v="2"/>
    <n v="350"/>
    <x v="0"/>
  </r>
  <r>
    <n v="969"/>
    <x v="0"/>
    <n v="0"/>
    <n v="216.4"/>
    <d v="2025-05-22T00:00:00"/>
    <x v="0"/>
    <n v="792"/>
    <x v="4"/>
  </r>
  <r>
    <n v="971"/>
    <x v="1"/>
    <n v="0"/>
    <n v="185.94"/>
    <d v="2025-05-21T00:00:00"/>
    <x v="0"/>
    <n v="58"/>
    <x v="1"/>
  </r>
  <r>
    <n v="973"/>
    <x v="1"/>
    <n v="0"/>
    <n v="442.48"/>
    <d v="2025-06-17T00:00:00"/>
    <x v="2"/>
    <n v="953"/>
    <x v="0"/>
  </r>
  <r>
    <n v="975"/>
    <x v="1"/>
    <n v="0"/>
    <n v="437.07"/>
    <d v="2025-04-14T00:00:00"/>
    <x v="1"/>
    <n v="560"/>
    <x v="1"/>
  </r>
  <r>
    <n v="976"/>
    <x v="0"/>
    <n v="1"/>
    <n v="220.59"/>
    <d v="2025-06-06T00:00:00"/>
    <x v="2"/>
    <n v="682"/>
    <x v="2"/>
  </r>
  <r>
    <n v="977"/>
    <x v="1"/>
    <n v="0"/>
    <n v="189.74"/>
    <d v="2025-04-22T00:00:00"/>
    <x v="1"/>
    <n v="415"/>
    <x v="0"/>
  </r>
  <r>
    <n v="978"/>
    <x v="0"/>
    <n v="0"/>
    <n v="355.24"/>
    <d v="2025-04-20T00:00:00"/>
    <x v="1"/>
    <n v="634"/>
    <x v="2"/>
  </r>
  <r>
    <n v="979"/>
    <x v="0"/>
    <n v="0"/>
    <n v="228.04"/>
    <d v="2025-04-22T00:00:00"/>
    <x v="1"/>
    <n v="638"/>
    <x v="0"/>
  </r>
  <r>
    <n v="98"/>
    <x v="0"/>
    <n v="0"/>
    <n v="413.91"/>
    <d v="2025-05-20T00:00:00"/>
    <x v="0"/>
    <n v="879"/>
    <x v="5"/>
  </r>
  <r>
    <n v="980"/>
    <x v="1"/>
    <n v="0"/>
    <n v="448.26"/>
    <d v="2025-05-27T00:00:00"/>
    <x v="0"/>
    <n v="220"/>
    <x v="1"/>
  </r>
  <r>
    <n v="981"/>
    <x v="0"/>
    <n v="0"/>
    <n v="149.36000000000001"/>
    <d v="2025-04-15T00:00:00"/>
    <x v="1"/>
    <n v="733"/>
    <x v="1"/>
  </r>
  <r>
    <n v="982"/>
    <x v="1"/>
    <n v="1"/>
    <n v="193.4"/>
    <d v="2025-05-19T00:00:00"/>
    <x v="0"/>
    <n v="70"/>
    <x v="1"/>
  </r>
  <r>
    <n v="985"/>
    <x v="0"/>
    <n v="0"/>
    <n v="239.39"/>
    <d v="2025-04-05T00:00:00"/>
    <x v="1"/>
    <n v="697"/>
    <x v="1"/>
  </r>
  <r>
    <n v="986"/>
    <x v="1"/>
    <n v="0"/>
    <n v="229.64"/>
    <d v="2025-05-23T00:00:00"/>
    <x v="0"/>
    <n v="735"/>
    <x v="0"/>
  </r>
  <r>
    <n v="989"/>
    <x v="0"/>
    <n v="0"/>
    <n v="287.64"/>
    <d v="2025-05-27T00:00:00"/>
    <x v="0"/>
    <n v="22"/>
    <x v="1"/>
  </r>
  <r>
    <n v="990"/>
    <x v="1"/>
    <n v="0"/>
    <n v="458.36"/>
    <d v="2025-04-17T00:00:00"/>
    <x v="1"/>
    <n v="327"/>
    <x v="0"/>
  </r>
  <r>
    <n v="991"/>
    <x v="1"/>
    <n v="0"/>
    <n v="200.08"/>
    <d v="2025-04-20T00:00:00"/>
    <x v="1"/>
    <n v="734"/>
    <x v="5"/>
  </r>
  <r>
    <n v="992"/>
    <x v="1"/>
    <n v="1"/>
    <n v="214.08"/>
    <d v="2025-05-13T00:00:00"/>
    <x v="0"/>
    <n v="375"/>
    <x v="1"/>
  </r>
  <r>
    <n v="993"/>
    <x v="0"/>
    <n v="0"/>
    <n v="311.37"/>
    <d v="2025-04-21T00:00:00"/>
    <x v="1"/>
    <n v="99"/>
    <x v="3"/>
  </r>
  <r>
    <n v="994"/>
    <x v="1"/>
    <n v="1"/>
    <n v="477.09"/>
    <d v="2025-05-15T00:00:00"/>
    <x v="0"/>
    <n v="798"/>
    <x v="2"/>
  </r>
  <r>
    <n v="995"/>
    <x v="0"/>
    <n v="0"/>
    <n v="489.02"/>
    <d v="2025-05-19T00:00:00"/>
    <x v="0"/>
    <n v="565"/>
    <x v="3"/>
  </r>
  <r>
    <n v="999"/>
    <x v="0"/>
    <n v="0"/>
    <n v="109.62"/>
    <d v="2025-06-16T00:00:00"/>
    <x v="2"/>
    <n v="41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14166-47D0-4319-821D-EA6CC1A0B13C}" name="TablaDinámica23" cacheId="0" applyNumberFormats="0" applyBorderFormats="0" applyFontFormats="0" applyPatternFormats="0" applyAlignmentFormats="0" applyWidthHeightFormats="1" dataCaption="Valores" updatedVersion="7" minRefreshableVersion="3" useAutoFormatting="1" rowGrandTotals="0" itemPrintTitles="1" createdVersion="7" indent="0" outline="1" outlineData="1" multipleFieldFilters="0" rowHeaderCaption="Products">
  <location ref="K24:L109" firstHeaderRow="1" firstDataRow="1" firstDataCol="1"/>
  <pivotFields count="5">
    <pivotField showAll="0"/>
    <pivotField showAll="0"/>
    <pivotField name="Stock2" dataField="1" showAll="0"/>
    <pivotField axis="axisRow" showAll="0" measureFilter="1" sortType="ascending">
      <items count="501">
        <item x="462"/>
        <item x="464"/>
        <item x="489"/>
        <item x="465"/>
        <item x="443"/>
        <item x="444"/>
        <item x="473"/>
        <item x="445"/>
        <item x="451"/>
        <item x="453"/>
        <item x="480"/>
        <item x="456"/>
        <item x="458"/>
        <item x="461"/>
        <item x="486"/>
        <item x="460"/>
        <item x="440"/>
        <item x="429"/>
        <item x="439"/>
        <item x="431"/>
        <item x="441"/>
        <item x="442"/>
        <item x="463"/>
        <item x="433"/>
        <item x="446"/>
        <item x="448"/>
        <item x="475"/>
        <item x="450"/>
        <item x="447"/>
        <item x="449"/>
        <item x="476"/>
        <item x="452"/>
        <item x="455"/>
        <item x="457"/>
        <item x="484"/>
        <item x="459"/>
        <item x="437"/>
        <item x="426"/>
        <item x="435"/>
        <item x="428"/>
        <item x="112"/>
        <item x="161"/>
        <item x="144"/>
        <item x="147"/>
        <item x="177"/>
        <item x="81"/>
        <item x="130"/>
        <item x="120"/>
        <item x="104"/>
        <item x="135"/>
        <item x="99"/>
        <item x="153"/>
        <item x="131"/>
        <item x="127"/>
        <item x="148"/>
        <item x="109"/>
        <item x="159"/>
        <item x="137"/>
        <item x="138"/>
        <item x="158"/>
        <item x="76"/>
        <item x="123"/>
        <item x="106"/>
        <item x="101"/>
        <item x="128"/>
        <item x="79"/>
        <item x="129"/>
        <item x="113"/>
        <item x="102"/>
        <item x="133"/>
        <item x="84"/>
        <item x="142"/>
        <item x="124"/>
        <item x="105"/>
        <item x="136"/>
        <item x="86"/>
        <item x="151"/>
        <item x="125"/>
        <item x="117"/>
        <item x="143"/>
        <item x="108"/>
        <item x="156"/>
        <item x="134"/>
        <item x="132"/>
        <item x="150"/>
        <item x="71"/>
        <item x="122"/>
        <item x="103"/>
        <item x="100"/>
        <item x="126"/>
        <item x="468"/>
        <item x="472"/>
        <item x="474"/>
        <item x="478"/>
        <item x="479"/>
        <item x="481"/>
        <item x="494"/>
        <item x="496"/>
        <item x="499"/>
        <item x="436"/>
        <item x="424"/>
        <item x="430"/>
        <item x="422"/>
        <item x="400"/>
        <item x="403"/>
        <item x="411"/>
        <item x="370"/>
        <item x="418"/>
        <item x="413"/>
        <item x="417"/>
        <item x="395"/>
        <item x="425"/>
        <item x="421"/>
        <item x="427"/>
        <item x="407"/>
        <item x="394"/>
        <item x="397"/>
        <item x="398"/>
        <item x="367"/>
        <item x="396"/>
        <item x="401"/>
        <item x="408"/>
        <item x="369"/>
        <item x="402"/>
        <item x="409"/>
        <item x="412"/>
        <item x="380"/>
        <item x="404"/>
        <item x="410"/>
        <item x="416"/>
        <item x="393"/>
        <item x="423"/>
        <item x="420"/>
        <item x="419"/>
        <item x="406"/>
        <item x="390"/>
        <item x="392"/>
        <item x="391"/>
        <item x="364"/>
        <item x="326"/>
        <item x="356"/>
        <item x="297"/>
        <item x="317"/>
        <item x="432"/>
        <item x="310"/>
        <item x="340"/>
        <item x="283"/>
        <item x="291"/>
        <item x="378"/>
        <item x="319"/>
        <item x="349"/>
        <item x="292"/>
        <item x="306"/>
        <item x="405"/>
        <item x="325"/>
        <item x="355"/>
        <item x="296"/>
        <item x="315"/>
        <item x="415"/>
        <item x="300"/>
        <item x="336"/>
        <item x="271"/>
        <item x="279"/>
        <item x="371"/>
        <item x="308"/>
        <item x="337"/>
        <item x="282"/>
        <item x="287"/>
        <item x="377"/>
        <item x="311"/>
        <item x="341"/>
        <item x="285"/>
        <item x="301"/>
        <item x="384"/>
        <item x="318"/>
        <item x="347"/>
        <item x="290"/>
        <item x="303"/>
        <item x="399"/>
        <item x="321"/>
        <item x="351"/>
        <item x="293"/>
        <item x="314"/>
        <item x="414"/>
        <item x="298"/>
        <item x="329"/>
        <item x="270"/>
        <item x="277"/>
        <item x="365"/>
        <item x="69"/>
        <item x="119"/>
        <item x="97"/>
        <item x="98"/>
        <item x="121"/>
        <item x="35"/>
        <item x="85"/>
        <item x="83"/>
        <item x="59"/>
        <item x="75"/>
        <item x="56"/>
        <item x="94"/>
        <item x="91"/>
        <item x="66"/>
        <item x="107"/>
        <item x="65"/>
        <item x="114"/>
        <item x="96"/>
        <item x="95"/>
        <item x="115"/>
        <item x="33"/>
        <item x="74"/>
        <item x="68"/>
        <item x="51"/>
        <item x="61"/>
        <item x="34"/>
        <item x="80"/>
        <item x="77"/>
        <item x="54"/>
        <item x="70"/>
        <item x="42"/>
        <item x="87"/>
        <item x="88"/>
        <item x="60"/>
        <item x="78"/>
        <item x="53"/>
        <item x="90"/>
        <item x="89"/>
        <item x="64"/>
        <item x="92"/>
        <item x="57"/>
        <item x="111"/>
        <item x="93"/>
        <item x="82"/>
        <item x="110"/>
        <item x="32"/>
        <item x="73"/>
        <item x="55"/>
        <item x="49"/>
        <item x="43"/>
        <item x="203"/>
        <item x="267"/>
        <item x="231"/>
        <item x="247"/>
        <item x="294"/>
        <item x="189"/>
        <item x="234"/>
        <item x="210"/>
        <item x="216"/>
        <item x="246"/>
        <item x="197"/>
        <item x="255"/>
        <item x="224"/>
        <item x="226"/>
        <item x="265"/>
        <item x="202"/>
        <item x="266"/>
        <item x="230"/>
        <item x="237"/>
        <item x="281"/>
        <item x="172"/>
        <item x="225"/>
        <item x="196"/>
        <item x="211"/>
        <item x="239"/>
        <item x="175"/>
        <item x="229"/>
        <item x="208"/>
        <item x="212"/>
        <item x="240"/>
        <item x="190"/>
        <item x="242"/>
        <item x="215"/>
        <item x="217"/>
        <item x="254"/>
        <item x="191"/>
        <item x="248"/>
        <item x="218"/>
        <item x="220"/>
        <item x="258"/>
        <item x="198"/>
        <item x="261"/>
        <item x="228"/>
        <item x="233"/>
        <item x="280"/>
        <item x="170"/>
        <item x="219"/>
        <item x="187"/>
        <item x="207"/>
        <item x="238"/>
        <item x="295"/>
        <item x="328"/>
        <item x="264"/>
        <item x="276"/>
        <item x="354"/>
        <item x="244"/>
        <item x="289"/>
        <item x="243"/>
        <item x="260"/>
        <item x="320"/>
        <item x="268"/>
        <item x="312"/>
        <item x="256"/>
        <item x="272"/>
        <item x="345"/>
        <item x="288"/>
        <item x="316"/>
        <item x="262"/>
        <item x="275"/>
        <item x="352"/>
        <item x="223"/>
        <item x="278"/>
        <item x="235"/>
        <item x="251"/>
        <item x="307"/>
        <item x="236"/>
        <item x="286"/>
        <item x="241"/>
        <item x="252"/>
        <item x="309"/>
        <item x="245"/>
        <item x="302"/>
        <item x="249"/>
        <item x="263"/>
        <item x="330"/>
        <item x="259"/>
        <item x="305"/>
        <item x="253"/>
        <item x="269"/>
        <item x="332"/>
        <item x="284"/>
        <item x="313"/>
        <item x="257"/>
        <item x="274"/>
        <item x="350"/>
        <item x="221"/>
        <item x="273"/>
        <item x="232"/>
        <item x="250"/>
        <item x="304"/>
        <item x="467"/>
        <item x="469"/>
        <item x="487"/>
        <item x="498"/>
        <item x="26"/>
        <item x="72"/>
        <item x="52"/>
        <item x="48"/>
        <item x="40"/>
        <item x="13"/>
        <item x="45"/>
        <item x="12"/>
        <item x="14"/>
        <item x="15"/>
        <item x="19"/>
        <item x="62"/>
        <item x="25"/>
        <item x="37"/>
        <item x="36"/>
        <item x="23"/>
        <item x="67"/>
        <item x="47"/>
        <item x="46"/>
        <item x="39"/>
        <item x="6"/>
        <item x="28"/>
        <item x="8"/>
        <item x="2"/>
        <item x="7"/>
        <item x="11"/>
        <item x="41"/>
        <item x="10"/>
        <item x="3"/>
        <item x="9"/>
        <item x="16"/>
        <item x="50"/>
        <item x="17"/>
        <item x="21"/>
        <item x="29"/>
        <item x="18"/>
        <item x="58"/>
        <item x="20"/>
        <item x="31"/>
        <item x="30"/>
        <item x="22"/>
        <item x="63"/>
        <item x="27"/>
        <item x="44"/>
        <item x="38"/>
        <item x="0"/>
        <item x="24"/>
        <item x="5"/>
        <item x="1"/>
        <item x="4"/>
        <item x="387"/>
        <item x="388"/>
        <item x="389"/>
        <item x="359"/>
        <item x="362"/>
        <item x="373"/>
        <item x="339"/>
        <item x="338"/>
        <item x="466"/>
        <item x="368"/>
        <item x="382"/>
        <item x="372"/>
        <item x="344"/>
        <item x="491"/>
        <item x="385"/>
        <item x="386"/>
        <item x="376"/>
        <item x="353"/>
        <item x="495"/>
        <item x="331"/>
        <item x="360"/>
        <item x="324"/>
        <item x="323"/>
        <item x="438"/>
        <item x="333"/>
        <item x="361"/>
        <item x="334"/>
        <item x="335"/>
        <item x="454"/>
        <item x="363"/>
        <item x="375"/>
        <item x="348"/>
        <item x="342"/>
        <item x="471"/>
        <item x="366"/>
        <item x="379"/>
        <item x="358"/>
        <item x="343"/>
        <item x="483"/>
        <item x="381"/>
        <item x="383"/>
        <item x="374"/>
        <item x="346"/>
        <item x="492"/>
        <item x="327"/>
        <item x="357"/>
        <item x="299"/>
        <item x="322"/>
        <item x="434"/>
        <item x="470"/>
        <item x="477"/>
        <item x="482"/>
        <item x="485"/>
        <item x="488"/>
        <item x="490"/>
        <item x="493"/>
        <item x="497"/>
        <item x="169"/>
        <item x="209"/>
        <item x="185"/>
        <item x="206"/>
        <item x="227"/>
        <item x="140"/>
        <item x="176"/>
        <item x="164"/>
        <item x="174"/>
        <item x="195"/>
        <item x="155"/>
        <item x="188"/>
        <item x="171"/>
        <item x="194"/>
        <item x="213"/>
        <item x="163"/>
        <item x="199"/>
        <item x="180"/>
        <item x="201"/>
        <item x="222"/>
        <item x="118"/>
        <item x="168"/>
        <item x="146"/>
        <item x="160"/>
        <item x="184"/>
        <item x="139"/>
        <item x="173"/>
        <item x="152"/>
        <item x="167"/>
        <item x="186"/>
        <item x="141"/>
        <item x="181"/>
        <item x="165"/>
        <item x="178"/>
        <item x="204"/>
        <item x="154"/>
        <item x="182"/>
        <item x="166"/>
        <item x="192"/>
        <item x="205"/>
        <item x="157"/>
        <item x="193"/>
        <item x="179"/>
        <item x="200"/>
        <item x="214"/>
        <item x="116"/>
        <item x="162"/>
        <item x="145"/>
        <item x="149"/>
        <item x="1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ascending">
      <items count="6">
        <item x="0"/>
        <item x="2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85">
    <i>
      <x v="162"/>
    </i>
    <i>
      <x v="104"/>
    </i>
    <i>
      <x v="151"/>
    </i>
    <i>
      <x v="74"/>
    </i>
    <i>
      <x v="8"/>
    </i>
    <i>
      <x v="100"/>
    </i>
    <i>
      <x v="273"/>
    </i>
    <i>
      <x v="458"/>
    </i>
    <i>
      <x v="343"/>
    </i>
    <i>
      <x v="103"/>
    </i>
    <i>
      <x v="346"/>
    </i>
    <i>
      <x v="81"/>
    </i>
    <i>
      <x v="352"/>
    </i>
    <i>
      <x v="178"/>
    </i>
    <i>
      <x v="264"/>
    </i>
    <i>
      <x v="463"/>
    </i>
    <i>
      <x v="122"/>
    </i>
    <i>
      <x v="438"/>
    </i>
    <i>
      <x v="300"/>
    </i>
    <i>
      <x v="276"/>
    </i>
    <i>
      <x v="256"/>
    </i>
    <i>
      <x v="370"/>
    </i>
    <i>
      <x v="284"/>
    </i>
    <i>
      <x v="412"/>
    </i>
    <i>
      <x v="325"/>
    </i>
    <i>
      <x v="430"/>
    </i>
    <i>
      <x v="492"/>
    </i>
    <i>
      <x v="270"/>
    </i>
    <i>
      <x v="206"/>
    </i>
    <i>
      <x v="451"/>
    </i>
    <i>
      <x v="53"/>
    </i>
    <i>
      <x v="82"/>
    </i>
    <i>
      <x v="218"/>
    </i>
    <i>
      <x v="23"/>
    </i>
    <i>
      <x v="279"/>
    </i>
    <i>
      <x v="295"/>
    </i>
    <i>
      <x v="145"/>
    </i>
    <i>
      <x v="149"/>
    </i>
    <i>
      <x v="410"/>
    </i>
    <i>
      <x v="294"/>
    </i>
    <i>
      <x v="239"/>
    </i>
    <i>
      <x v="197"/>
    </i>
    <i>
      <x v="282"/>
    </i>
    <i>
      <x v="287"/>
    </i>
    <i>
      <x v="498"/>
    </i>
    <i>
      <x v="411"/>
    </i>
    <i>
      <x v="117"/>
    </i>
    <i>
      <x v="442"/>
    </i>
    <i>
      <x v="164"/>
    </i>
    <i>
      <x v="475"/>
    </i>
    <i>
      <x v="306"/>
    </i>
    <i>
      <x v="36"/>
    </i>
    <i>
      <x v="6"/>
    </i>
    <i>
      <x v="456"/>
    </i>
    <i>
      <x v="19"/>
    </i>
    <i>
      <x v="49"/>
    </i>
    <i>
      <x v="321"/>
    </i>
    <i>
      <x v="48"/>
    </i>
    <i>
      <x v="359"/>
    </i>
    <i>
      <x v="94"/>
    </i>
    <i>
      <x v="429"/>
    </i>
    <i>
      <x v="351"/>
    </i>
    <i>
      <x v="493"/>
    </i>
    <i>
      <x v="262"/>
    </i>
    <i>
      <x v="453"/>
    </i>
    <i>
      <x v="378"/>
    </i>
    <i>
      <x v="217"/>
    </i>
    <i>
      <x v="280"/>
    </i>
    <i>
      <x v="489"/>
    </i>
    <i>
      <x v="245"/>
    </i>
    <i>
      <x v="368"/>
    </i>
    <i>
      <x v="347"/>
    </i>
    <i>
      <x v="467"/>
    </i>
    <i>
      <x v="302"/>
    </i>
    <i>
      <x v="468"/>
    </i>
    <i>
      <x v="26"/>
    </i>
    <i>
      <x v="202"/>
    </i>
    <i>
      <x v="154"/>
    </i>
    <i>
      <x v="360"/>
    </i>
    <i>
      <x v="124"/>
    </i>
    <i>
      <x v="205"/>
    </i>
    <i>
      <x v="211"/>
    </i>
    <i>
      <x v="417"/>
    </i>
    <i>
      <x v="487"/>
    </i>
    <i>
      <x v="105"/>
    </i>
  </rowItems>
  <colItems count="1">
    <i/>
  </colItems>
  <dataFields count="1">
    <dataField name="Stock" fld="2" baseField="3" baseItem="104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filters count="1">
    <filter fld="3" type="valueLessThanOrEqual" evalOrder="-1" id="1" iMeasureFld="0">
      <autoFilter ref="A1">
        <filterColumn colId="0">
          <customFilters>
            <customFilter operator="lessThanOrEqual" val="1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BE997-391C-4E1F-914A-A6490AD6BC8A}" name="TablaDinámica19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 rowHeaderCaption="Country">
  <location ref="K5:L12" firstHeaderRow="1" firstDataRow="1" firstDataCol="1"/>
  <pivotFields count="8">
    <pivotField showAll="0"/>
    <pivotField showAll="0">
      <items count="3">
        <item x="1"/>
        <item x="0"/>
        <item t="default"/>
      </items>
    </pivotField>
    <pivotField showAll="0"/>
    <pivotField dataField="1" showAll="0"/>
    <pivotField numFmtId="166" showAll="0"/>
    <pivotField showAll="0">
      <items count="4">
        <item h="1" x="1"/>
        <item x="0"/>
        <item h="1" x="2"/>
        <item t="default"/>
      </items>
    </pivotField>
    <pivotField showAll="0"/>
    <pivotField axis="axisRow" showAll="0" sortType="descending">
      <items count="7">
        <item x="0"/>
        <item x="1"/>
        <item x="4"/>
        <item x="5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7"/>
  </rowFields>
  <rowItems count="7">
    <i>
      <x v="1"/>
    </i>
    <i>
      <x/>
    </i>
    <i>
      <x v="2"/>
    </i>
    <i>
      <x v="3"/>
    </i>
    <i>
      <x v="5"/>
    </i>
    <i>
      <x v="4"/>
    </i>
    <i t="grand">
      <x/>
    </i>
  </rowItems>
  <colItems count="1">
    <i/>
  </colItems>
  <dataFields count="1">
    <dataField name="Sum of Total amount" fld="3" baseField="7" baseItem="0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chartFormats count="1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C46098-635C-416F-846B-0EAC4B4B615F}" name="TablaDinámica22" cacheId="0" applyNumberFormats="0" applyBorderFormats="0" applyFontFormats="0" applyPatternFormats="0" applyAlignmentFormats="0" applyWidthHeightFormats="1" dataCaption="Valores" updatedVersion="7" minRefreshableVersion="3" useAutoFormatting="1" rowGrandTotals="0" itemPrintTitles="1" createdVersion="7" indent="0" outline="1" outlineData="1" multipleFieldFilters="0">
  <location ref="H4:J21" firstHeaderRow="1" firstDataRow="1" firstDataCol="0"/>
  <pivotFields count="5"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hannel" xr10:uid="{90743E21-AE19-42CD-9B03-404E58D20C21}" sourceName="Channel">
  <pivotTables>
    <pivotTable tabId="3" name="TablaDinámica19"/>
  </pivotTables>
  <data>
    <tabular pivotCacheId="2115133348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onth" xr10:uid="{19DE35C7-2050-468A-9E0E-6F2D136F57F3}" sourceName="Month">
  <pivotTables>
    <pivotTable tabId="3" name="TablaDinámica19"/>
  </pivotTables>
  <data>
    <tabular pivotCacheId="2115133348">
      <items count="3">
        <i x="1"/>
        <i x="0" s="1"/>
        <i x="2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2BC6FF07-D6C1-4445-9490-2A3DF3959EB9}" sourceName="Category">
  <pivotTables>
    <pivotTable tabId="2" name="TablaDinámica23"/>
  </pivotTables>
  <data>
    <tabular pivotCacheId="815281169">
      <items count="5">
        <i x="0" s="1"/>
        <i x="2" s="1"/>
        <i x="3" s="1"/>
        <i x="4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hannel" xr10:uid="{FA6C1993-B55D-4F4F-B721-11A2173A72EB}" cache="SegmentaciónDeDatos_Channel" caption="Channel" style="SlicerStyleDark1" rowHeight="273050"/>
  <slicer name="Month" xr10:uid="{48967680-5631-4EDD-890B-90894E8DC9A9}" cache="SegmentaciónDeDatos_Month" caption="Month" style="SlicerStyleDark1" rowHeight="273050"/>
  <slicer name="Category" xr10:uid="{22C6B320-8819-4E43-9B30-AB000DF06BD5}" cache="SegmentaciónDeDatos_Category" caption="Category" style="SlicerStyleDark1" rowHeight="2730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F1517D-7F3D-437A-B68A-DD754194BAAF}" name="Tabla1" displayName="Tabla1" ref="B3:C5" totalsRowShown="0">
  <autoFilter ref="B3:C5" xr:uid="{CCF1517D-7F3D-437A-B68A-DD754194BAAF}"/>
  <tableColumns count="2">
    <tableColumn id="1" xr3:uid="{FC9F3D17-2A0D-436B-892B-75BE4310B79A}" name="channel"/>
    <tableColumn id="2" xr3:uid="{D11FF87E-08A5-4444-ABFF-B811F31CDE75}" name="total_sales" dataDxfId="10" dataCellStyle="Mon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806BCE8-FBE5-42B4-8588-31074F7672CC}" name="Tabla2" displayName="Tabla2" ref="E3:G9" totalsRowShown="0">
  <autoFilter ref="E3:G9" xr:uid="{5806BCE8-FBE5-42B4-8588-31074F7672CC}"/>
  <sortState xmlns:xlrd2="http://schemas.microsoft.com/office/spreadsheetml/2017/richdata2" ref="E4:G9">
    <sortCondition ref="F3:F9"/>
  </sortState>
  <tableColumns count="3">
    <tableColumn id="1" xr3:uid="{DB82F60C-1800-46A0-868D-69B4A26CE36C}" name="country"/>
    <tableColumn id="2" xr3:uid="{17237612-CEC9-4F85-86EF-531956A967ED}" name="sales_volume"/>
    <tableColumn id="3" xr3:uid="{70F5278E-C9E2-45E0-9FDF-65A195B20AF8}" name="average_ticket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E3976F-149B-4688-BBA1-96B837B1EF22}" name="Tabla4" displayName="Tabla4" ref="H14:I19" totalsRowShown="0">
  <autoFilter ref="H14:I19" xr:uid="{03E3976F-149B-4688-BBA1-96B837B1EF22}"/>
  <tableColumns count="2">
    <tableColumn id="1" xr3:uid="{350A5F4A-95D0-44EC-A0D2-B992D2E8D0B3}" name="category"/>
    <tableColumn id="2" xr3:uid="{19F56E52-FFC2-453F-95A2-8A20AA7FF304}" name="product_profit_margin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C28C324-21BA-4568-8126-7DDF573ADED7}" name="Tabla5" displayName="Tabla5" ref="C13:E27" totalsRowShown="0">
  <autoFilter ref="C13:E27" xr:uid="{BC28C324-21BA-4568-8126-7DDF573ADED7}"/>
  <tableColumns count="3">
    <tableColumn id="1" xr3:uid="{36463671-4707-40AC-9CCA-CE4215EBDE36}" name="customer_id"/>
    <tableColumn id="2" xr3:uid="{623E2E44-46FE-4C6E-A0F1-1B261904D87F}" name="total_spent" dataDxfId="7"/>
    <tableColumn id="3" xr3:uid="{BC41AA91-8E15-440F-8728-48E7B7ECF1D7}" name="total_orde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C17C7E-A300-4BB2-9818-5514020509F8}" name="Tabla3" displayName="Tabla3" ref="I3:J6" totalsRowShown="0">
  <autoFilter ref="I3:J6" xr:uid="{EEC17C7E-A300-4BB2-9818-5514020509F8}"/>
  <tableColumns count="2">
    <tableColumn id="1" xr3:uid="{840CE23C-699F-4EB9-B459-E78336F07AB9}" name="month_sale"/>
    <tableColumn id="2" xr3:uid="{8A752285-D066-408E-B419-7BB2E1EB08EB}" name="total_sales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D60DB11-47D0-4F74-AEEC-2221C7FAF842}" name="Tabla212" displayName="Tabla212" ref="A1:H906" totalsRowShown="0">
  <autoFilter ref="A1:H906" xr:uid="{9D60DB11-47D0-4F74-AEEC-2221C7FAF842}"/>
  <tableColumns count="8">
    <tableColumn id="1" xr3:uid="{97B2EBE7-0677-4460-8AC6-44B47BA452ED}" name="Sale ID"/>
    <tableColumn id="2" xr3:uid="{44EF16AF-7181-4201-89A7-EE7FBD688085}" name="Channel"/>
    <tableColumn id="3" xr3:uid="{620B5482-24F2-4643-8FA4-4793F66B6C39}" name="Discount"/>
    <tableColumn id="4" xr3:uid="{A8C99D69-A982-4683-A418-EECA186FED33}" name="Total amount"/>
    <tableColumn id="5" xr3:uid="{78B3AA55-5903-488F-9888-01BBCC11FD33}" name="Sale date" dataDxfId="3"/>
    <tableColumn id="9" xr3:uid="{8447D8CB-8939-4EAF-9E17-B67AF815A8BD}" name="Month" dataDxfId="2">
      <calculatedColumnFormula>PROPER(TEXT(E2, "mmmm"))</calculatedColumnFormula>
    </tableColumn>
    <tableColumn id="6" xr3:uid="{24BC35B9-15BD-436B-B3AA-6CEBA4AFDD9F}" name="Client ID"/>
    <tableColumn id="7" xr3:uid="{3397F97E-C642-40BE-817A-AAEF16DE2A43}" name="Count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462E2A-C933-46AD-9825-2910105DAF92}" name="Tabla44" displayName="Tabla44" ref="A1:I501" totalsRowShown="0">
  <autoFilter ref="A1:I501" xr:uid="{3B462E2A-C933-46AD-9825-2910105DAF92}"/>
  <tableColumns count="9">
    <tableColumn id="1" xr3:uid="{7933417C-5A0A-4BDD-946B-25F3516560CE}" name="product_id"/>
    <tableColumn id="2" xr3:uid="{571A926C-2656-4DE1-B283-9A6D5066586A}" name="product_name"/>
    <tableColumn id="3" xr3:uid="{BD29DB89-294E-4A86-9922-A720CE544457}" name="category"/>
    <tableColumn id="4" xr3:uid="{8A64DF17-BD1B-4DF0-863C-68A9BADFC053}" name="brand"/>
    <tableColumn id="5" xr3:uid="{72145FF5-94EB-4B4B-96DE-1064727DF74F}" name="color"/>
    <tableColumn id="6" xr3:uid="{A772F439-BD49-40B2-950D-173AA2951169}" name="size"/>
    <tableColumn id="7" xr3:uid="{DCAAE685-8092-4C22-B592-7A250B5CD5E8}" name="catalog_price"/>
    <tableColumn id="8" xr3:uid="{C9BE13D9-F1B7-42E4-84EA-8A3A4354D99E}" name="cost_price"/>
    <tableColumn id="9" xr3:uid="{1DA92ECC-2D7B-4E82-A115-C0EB9409DC1C}" name="gende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176355-7751-4939-8129-D8DE15EE2DFA}" name="Tabla36" displayName="Tabla36" ref="A1:E501" totalsRowShown="0">
  <autoFilter ref="A1:E501" xr:uid="{8E176355-7751-4939-8129-D8DE15EE2DFA}"/>
  <tableColumns count="5">
    <tableColumn id="1" xr3:uid="{7868203D-8A0D-439B-B43B-0B140ADCB018}" name="Country"/>
    <tableColumn id="2" xr3:uid="{C78B0919-20ED-4ECA-BA50-67C664660B29}" name="Product ID"/>
    <tableColumn id="3" xr3:uid="{08F3632D-0819-40E4-9647-885FF68ADE74}" name="Stock"/>
    <tableColumn id="4" xr3:uid="{7232514B-1E05-4698-AFBD-826232D42C3D}" name="Product" dataDxfId="1">
      <calculatedColumnFormula>_xlfn.XLOOKUP(Tabla36[[#This Row],[Product ID]],Tabla44[[#This Row],[product_id]],Tabla44[[#This Row],[product_name]])</calculatedColumnFormula>
    </tableColumn>
    <tableColumn id="5" xr3:uid="{F2697EBC-791D-45A6-9005-38AA9E3B6BB9}" name="Category" dataDxfId="0">
      <calculatedColumnFormula>_xlfn.XLOOKUP(Tabla36[[#This Row],[Product ID]],Tabla44[[#This Row],[product_id]],Tabla44[[#This Row],[category]])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erlín">
  <a:themeElements>
    <a:clrScheme name="Berlí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í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í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43A58-98D3-4200-AB45-55420648B231}">
  <dimension ref="A1:T109"/>
  <sheetViews>
    <sheetView showGridLines="0" tabSelected="1" zoomScale="70" zoomScaleNormal="70" workbookViewId="0">
      <selection activeCell="N7" sqref="N7"/>
    </sheetView>
  </sheetViews>
  <sheetFormatPr baseColWidth="10" defaultRowHeight="16.5" x14ac:dyDescent="0.3"/>
  <cols>
    <col min="2" max="2" width="22.375" bestFit="1" customWidth="1"/>
    <col min="5" max="5" width="19" bestFit="1" customWidth="1"/>
    <col min="7" max="7" width="8.625" customWidth="1"/>
    <col min="8" max="8" width="7.75" customWidth="1"/>
    <col min="9" max="9" width="23.25" customWidth="1"/>
    <col min="10" max="10" width="5.375" customWidth="1"/>
    <col min="11" max="11" width="25.375" bestFit="1" customWidth="1"/>
    <col min="12" max="12" width="17.125" customWidth="1"/>
    <col min="13" max="13" width="15.25" bestFit="1" customWidth="1"/>
  </cols>
  <sheetData>
    <row r="1" spans="1:20" ht="12" customHeight="1" x14ac:dyDescent="0.4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3"/>
      <c r="T1" s="3"/>
    </row>
    <row r="2" spans="1:20" ht="33.75" x14ac:dyDescent="0.5">
      <c r="A2" s="27" t="s">
        <v>570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10"/>
      <c r="Q2" s="5"/>
      <c r="R2" s="5"/>
    </row>
    <row r="3" spans="1:20" ht="8.25" customHeight="1" x14ac:dyDescent="0.3"/>
    <row r="4" spans="1:20" ht="9.75" customHeight="1" x14ac:dyDescent="0.3"/>
    <row r="5" spans="1:20" ht="23.25" x14ac:dyDescent="0.35">
      <c r="B5" s="7" t="s">
        <v>562</v>
      </c>
      <c r="C5" s="6"/>
      <c r="D5" s="6"/>
      <c r="E5" s="7" t="s">
        <v>563</v>
      </c>
      <c r="I5" s="7" t="s">
        <v>564</v>
      </c>
      <c r="L5" s="7" t="s">
        <v>565</v>
      </c>
      <c r="M5" s="7"/>
    </row>
    <row r="6" spans="1:20" ht="11.25" customHeight="1" x14ac:dyDescent="0.35">
      <c r="B6" s="4"/>
      <c r="E6" s="4"/>
      <c r="I6" s="4"/>
      <c r="L6" s="4"/>
      <c r="M6" s="4"/>
    </row>
    <row r="7" spans="1:20" ht="30.75" x14ac:dyDescent="0.45">
      <c r="B7" s="25">
        <f>SUM(Tabla1[total_sales])</f>
        <v>324236.66000000003</v>
      </c>
      <c r="E7" s="25">
        <f>AVERAGE(Tabla2[average_ticket])</f>
        <v>360.07833333333332</v>
      </c>
      <c r="I7" s="25">
        <f>SUM(Tabla5[total_spent])</f>
        <v>25969.010000000002</v>
      </c>
      <c r="L7" s="25" t="str">
        <f>_xlfn.XLOOKUP(MAX(Tabla4[product_profit_margin]),Tabla4[product_profit_margin],Tabla4[category])</f>
        <v>T-Shirts</v>
      </c>
      <c r="M7" s="14"/>
    </row>
    <row r="8" spans="1:20" x14ac:dyDescent="0.3">
      <c r="I8" s="9"/>
    </row>
    <row r="24" spans="11:12" x14ac:dyDescent="0.3">
      <c r="K24" s="11" t="s">
        <v>571</v>
      </c>
      <c r="L24" t="s">
        <v>527</v>
      </c>
    </row>
    <row r="25" spans="11:12" x14ac:dyDescent="0.3">
      <c r="K25" s="12" t="s">
        <v>54</v>
      </c>
      <c r="L25" s="13">
        <v>1</v>
      </c>
    </row>
    <row r="26" spans="11:12" x14ac:dyDescent="0.3">
      <c r="K26" s="12" t="s">
        <v>70</v>
      </c>
      <c r="L26" s="13">
        <v>1</v>
      </c>
    </row>
    <row r="27" spans="11:12" x14ac:dyDescent="0.3">
      <c r="K27" s="12" t="s">
        <v>56</v>
      </c>
      <c r="L27" s="13">
        <v>1</v>
      </c>
    </row>
    <row r="28" spans="11:12" x14ac:dyDescent="0.3">
      <c r="K28" s="12" t="s">
        <v>35</v>
      </c>
      <c r="L28" s="13">
        <v>1</v>
      </c>
    </row>
    <row r="29" spans="11:12" x14ac:dyDescent="0.3">
      <c r="K29" s="12" t="s">
        <v>73</v>
      </c>
      <c r="L29" s="13">
        <v>1</v>
      </c>
    </row>
    <row r="30" spans="11:12" x14ac:dyDescent="0.3">
      <c r="K30" s="12" t="s">
        <v>71</v>
      </c>
      <c r="L30" s="13">
        <v>1</v>
      </c>
    </row>
    <row r="31" spans="11:12" x14ac:dyDescent="0.3">
      <c r="K31" s="12" t="s">
        <v>53</v>
      </c>
      <c r="L31" s="13">
        <v>1</v>
      </c>
    </row>
    <row r="32" spans="11:12" x14ac:dyDescent="0.3">
      <c r="K32" s="12" t="s">
        <v>40</v>
      </c>
      <c r="L32" s="13">
        <v>1</v>
      </c>
    </row>
    <row r="33" spans="11:12" x14ac:dyDescent="0.3">
      <c r="K33" s="12" t="s">
        <v>28</v>
      </c>
      <c r="L33" s="13">
        <v>1</v>
      </c>
    </row>
    <row r="34" spans="11:12" x14ac:dyDescent="0.3">
      <c r="K34" s="12" t="s">
        <v>69</v>
      </c>
      <c r="L34" s="13">
        <v>1</v>
      </c>
    </row>
    <row r="35" spans="11:12" x14ac:dyDescent="0.3">
      <c r="K35" s="12" t="s">
        <v>29</v>
      </c>
      <c r="L35" s="13">
        <v>1</v>
      </c>
    </row>
    <row r="36" spans="11:12" x14ac:dyDescent="0.3">
      <c r="K36" s="12" t="s">
        <v>38</v>
      </c>
      <c r="L36" s="13">
        <v>1</v>
      </c>
    </row>
    <row r="37" spans="11:12" x14ac:dyDescent="0.3">
      <c r="K37" s="12" t="s">
        <v>27</v>
      </c>
      <c r="L37" s="13">
        <v>1</v>
      </c>
    </row>
    <row r="38" spans="11:12" x14ac:dyDescent="0.3">
      <c r="K38" s="12" t="s">
        <v>68</v>
      </c>
      <c r="L38" s="13">
        <v>2</v>
      </c>
    </row>
    <row r="39" spans="11:12" x14ac:dyDescent="0.3">
      <c r="K39" s="12" t="s">
        <v>41</v>
      </c>
      <c r="L39" s="13">
        <v>2</v>
      </c>
    </row>
    <row r="40" spans="11:12" x14ac:dyDescent="0.3">
      <c r="K40" s="12" t="s">
        <v>43</v>
      </c>
      <c r="L40" s="13">
        <v>2</v>
      </c>
    </row>
    <row r="41" spans="11:12" x14ac:dyDescent="0.3">
      <c r="K41" s="12" t="s">
        <v>66</v>
      </c>
      <c r="L41" s="13">
        <v>2</v>
      </c>
    </row>
    <row r="42" spans="11:12" x14ac:dyDescent="0.3">
      <c r="K42" s="12" t="s">
        <v>65</v>
      </c>
      <c r="L42" s="13">
        <v>2</v>
      </c>
    </row>
    <row r="43" spans="11:12" x14ac:dyDescent="0.3">
      <c r="K43" s="12" t="s">
        <v>59</v>
      </c>
      <c r="L43" s="13">
        <v>2</v>
      </c>
    </row>
    <row r="44" spans="11:12" x14ac:dyDescent="0.3">
      <c r="K44" s="12" t="s">
        <v>48</v>
      </c>
      <c r="L44" s="13">
        <v>2</v>
      </c>
    </row>
    <row r="45" spans="11:12" x14ac:dyDescent="0.3">
      <c r="K45" s="12" t="s">
        <v>49</v>
      </c>
      <c r="L45" s="13">
        <v>3</v>
      </c>
    </row>
    <row r="46" spans="11:12" x14ac:dyDescent="0.3">
      <c r="K46" s="12" t="s">
        <v>26</v>
      </c>
      <c r="L46" s="13">
        <v>3</v>
      </c>
    </row>
    <row r="47" spans="11:12" x14ac:dyDescent="0.3">
      <c r="K47" s="12" t="s">
        <v>39</v>
      </c>
      <c r="L47" s="13">
        <v>3</v>
      </c>
    </row>
    <row r="48" spans="11:12" x14ac:dyDescent="0.3">
      <c r="K48" s="12" t="s">
        <v>61</v>
      </c>
      <c r="L48" s="13">
        <v>3</v>
      </c>
    </row>
    <row r="49" spans="11:12" x14ac:dyDescent="0.3">
      <c r="K49" s="12" t="s">
        <v>57</v>
      </c>
      <c r="L49" s="13">
        <v>3</v>
      </c>
    </row>
    <row r="50" spans="11:12" x14ac:dyDescent="0.3">
      <c r="K50" s="12" t="s">
        <v>63</v>
      </c>
      <c r="L50" s="13">
        <v>3</v>
      </c>
    </row>
    <row r="51" spans="11:12" x14ac:dyDescent="0.3">
      <c r="K51" s="12" t="s">
        <v>42</v>
      </c>
      <c r="L51" s="13">
        <v>3</v>
      </c>
    </row>
    <row r="52" spans="11:12" x14ac:dyDescent="0.3">
      <c r="K52" s="12" t="s">
        <v>51</v>
      </c>
      <c r="L52" s="13">
        <v>3</v>
      </c>
    </row>
    <row r="53" spans="11:12" x14ac:dyDescent="0.3">
      <c r="K53" s="12" t="s">
        <v>32</v>
      </c>
      <c r="L53" s="13">
        <v>3</v>
      </c>
    </row>
    <row r="54" spans="11:12" x14ac:dyDescent="0.3">
      <c r="K54" s="12" t="s">
        <v>47</v>
      </c>
      <c r="L54" s="13">
        <v>3</v>
      </c>
    </row>
    <row r="55" spans="11:12" x14ac:dyDescent="0.3">
      <c r="K55" s="12" t="s">
        <v>33</v>
      </c>
      <c r="L55" s="13">
        <v>3</v>
      </c>
    </row>
    <row r="56" spans="11:12" x14ac:dyDescent="0.3">
      <c r="K56" s="12" t="s">
        <v>34</v>
      </c>
      <c r="L56" s="13">
        <v>3</v>
      </c>
    </row>
    <row r="57" spans="11:12" x14ac:dyDescent="0.3">
      <c r="K57" s="12" t="s">
        <v>31</v>
      </c>
      <c r="L57" s="13">
        <v>3</v>
      </c>
    </row>
    <row r="58" spans="11:12" x14ac:dyDescent="0.3">
      <c r="K58" s="12" t="s">
        <v>72</v>
      </c>
      <c r="L58" s="13">
        <v>3</v>
      </c>
    </row>
    <row r="59" spans="11:12" x14ac:dyDescent="0.3">
      <c r="K59" s="12" t="s">
        <v>44</v>
      </c>
      <c r="L59" s="13">
        <v>4</v>
      </c>
    </row>
    <row r="60" spans="11:12" x14ac:dyDescent="0.3">
      <c r="K60" s="12" t="s">
        <v>55</v>
      </c>
      <c r="L60" s="13">
        <v>4</v>
      </c>
    </row>
    <row r="61" spans="11:12" x14ac:dyDescent="0.3">
      <c r="K61" s="12" t="s">
        <v>62</v>
      </c>
      <c r="L61" s="13">
        <v>4</v>
      </c>
    </row>
    <row r="62" spans="11:12" x14ac:dyDescent="0.3">
      <c r="K62" s="12" t="s">
        <v>60</v>
      </c>
      <c r="L62" s="13">
        <v>4</v>
      </c>
    </row>
    <row r="63" spans="11:12" x14ac:dyDescent="0.3">
      <c r="K63" s="12" t="s">
        <v>64</v>
      </c>
      <c r="L63" s="13">
        <v>4</v>
      </c>
    </row>
    <row r="64" spans="11:12" x14ac:dyDescent="0.3">
      <c r="K64" s="12" t="s">
        <v>52</v>
      </c>
      <c r="L64" s="13">
        <v>4</v>
      </c>
    </row>
    <row r="65" spans="11:12" x14ac:dyDescent="0.3">
      <c r="K65" s="12" t="s">
        <v>45</v>
      </c>
      <c r="L65" s="13">
        <v>5</v>
      </c>
    </row>
    <row r="66" spans="11:12" x14ac:dyDescent="0.3">
      <c r="K66" s="12" t="s">
        <v>30</v>
      </c>
      <c r="L66" s="13">
        <v>5</v>
      </c>
    </row>
    <row r="67" spans="11:12" x14ac:dyDescent="0.3">
      <c r="K67" s="12" t="s">
        <v>50</v>
      </c>
      <c r="L67" s="13">
        <v>5</v>
      </c>
    </row>
    <row r="68" spans="11:12" x14ac:dyDescent="0.3">
      <c r="K68" s="12" t="s">
        <v>46</v>
      </c>
      <c r="L68" s="13">
        <v>5</v>
      </c>
    </row>
    <row r="69" spans="11:12" x14ac:dyDescent="0.3">
      <c r="K69" s="12" t="s">
        <v>37</v>
      </c>
      <c r="L69" s="13">
        <v>5</v>
      </c>
    </row>
    <row r="70" spans="11:12" x14ac:dyDescent="0.3">
      <c r="K70" s="12" t="s">
        <v>75</v>
      </c>
      <c r="L70" s="13">
        <v>5</v>
      </c>
    </row>
    <row r="71" spans="11:12" x14ac:dyDescent="0.3">
      <c r="K71" s="12" t="s">
        <v>67</v>
      </c>
      <c r="L71" s="13">
        <v>5</v>
      </c>
    </row>
    <row r="72" spans="11:12" x14ac:dyDescent="0.3">
      <c r="K72" s="12" t="s">
        <v>74</v>
      </c>
      <c r="L72" s="13">
        <v>5</v>
      </c>
    </row>
    <row r="73" spans="11:12" x14ac:dyDescent="0.3">
      <c r="K73" s="12" t="s">
        <v>58</v>
      </c>
      <c r="L73" s="13">
        <v>5</v>
      </c>
    </row>
    <row r="74" spans="11:12" x14ac:dyDescent="0.3">
      <c r="K74" s="12" t="s">
        <v>36</v>
      </c>
      <c r="L74" s="13">
        <v>5</v>
      </c>
    </row>
    <row r="75" spans="11:12" x14ac:dyDescent="0.3">
      <c r="K75" s="12" t="s">
        <v>310</v>
      </c>
      <c r="L75" s="13">
        <v>10</v>
      </c>
    </row>
    <row r="76" spans="11:12" x14ac:dyDescent="0.3">
      <c r="K76" s="12" t="s">
        <v>466</v>
      </c>
      <c r="L76" s="13">
        <v>10</v>
      </c>
    </row>
    <row r="77" spans="11:12" x14ac:dyDescent="0.3">
      <c r="K77" s="12" t="s">
        <v>500</v>
      </c>
      <c r="L77" s="13">
        <v>10</v>
      </c>
    </row>
    <row r="78" spans="11:12" x14ac:dyDescent="0.3">
      <c r="K78" s="12" t="s">
        <v>236</v>
      </c>
      <c r="L78" s="13">
        <v>10</v>
      </c>
    </row>
    <row r="79" spans="11:12" x14ac:dyDescent="0.3">
      <c r="K79" s="12" t="s">
        <v>461</v>
      </c>
      <c r="L79" s="13">
        <v>10</v>
      </c>
    </row>
    <row r="80" spans="11:12" x14ac:dyDescent="0.3">
      <c r="K80" s="12" t="s">
        <v>202</v>
      </c>
      <c r="L80" s="13">
        <v>10</v>
      </c>
    </row>
    <row r="81" spans="11:12" x14ac:dyDescent="0.3">
      <c r="K81" s="12" t="s">
        <v>298</v>
      </c>
      <c r="L81" s="13">
        <v>10</v>
      </c>
    </row>
    <row r="82" spans="11:12" x14ac:dyDescent="0.3">
      <c r="K82" s="12" t="s">
        <v>173</v>
      </c>
      <c r="L82" s="13">
        <v>10</v>
      </c>
    </row>
    <row r="83" spans="11:12" x14ac:dyDescent="0.3">
      <c r="K83" s="12" t="s">
        <v>138</v>
      </c>
      <c r="L83" s="13">
        <v>11</v>
      </c>
    </row>
    <row r="84" spans="11:12" x14ac:dyDescent="0.3">
      <c r="K84" s="12" t="s">
        <v>506</v>
      </c>
      <c r="L84" s="13">
        <v>11</v>
      </c>
    </row>
    <row r="85" spans="11:12" x14ac:dyDescent="0.3">
      <c r="K85" s="12" t="s">
        <v>394</v>
      </c>
      <c r="L85" s="13">
        <v>11</v>
      </c>
    </row>
    <row r="86" spans="11:12" x14ac:dyDescent="0.3">
      <c r="K86" s="12" t="s">
        <v>89</v>
      </c>
      <c r="L86" s="13">
        <v>11</v>
      </c>
    </row>
    <row r="87" spans="11:12" x14ac:dyDescent="0.3">
      <c r="K87" s="12" t="s">
        <v>257</v>
      </c>
      <c r="L87" s="13">
        <v>11</v>
      </c>
    </row>
    <row r="88" spans="11:12" x14ac:dyDescent="0.3">
      <c r="K88" s="12" t="s">
        <v>265</v>
      </c>
      <c r="L88" s="13">
        <v>11</v>
      </c>
    </row>
    <row r="89" spans="11:12" x14ac:dyDescent="0.3">
      <c r="K89" s="12" t="s">
        <v>262</v>
      </c>
      <c r="L89" s="13">
        <v>11</v>
      </c>
    </row>
    <row r="90" spans="11:12" x14ac:dyDescent="0.3">
      <c r="K90" s="12" t="s">
        <v>92</v>
      </c>
      <c r="L90" s="13">
        <v>11</v>
      </c>
    </row>
    <row r="91" spans="11:12" x14ac:dyDescent="0.3">
      <c r="K91" s="12" t="s">
        <v>126</v>
      </c>
      <c r="L91" s="13">
        <v>11</v>
      </c>
    </row>
    <row r="92" spans="11:12" x14ac:dyDescent="0.3">
      <c r="K92" s="12" t="s">
        <v>309</v>
      </c>
      <c r="L92" s="13">
        <v>11</v>
      </c>
    </row>
    <row r="93" spans="11:12" x14ac:dyDescent="0.3">
      <c r="K93" s="12" t="s">
        <v>261</v>
      </c>
      <c r="L93" s="13">
        <v>11</v>
      </c>
    </row>
    <row r="94" spans="11:12" x14ac:dyDescent="0.3">
      <c r="K94" s="12" t="s">
        <v>285</v>
      </c>
      <c r="L94" s="13">
        <v>12</v>
      </c>
    </row>
    <row r="95" spans="11:12" x14ac:dyDescent="0.3">
      <c r="K95" s="12" t="s">
        <v>86</v>
      </c>
      <c r="L95" s="13">
        <v>12</v>
      </c>
    </row>
    <row r="96" spans="11:12" x14ac:dyDescent="0.3">
      <c r="K96" s="12" t="s">
        <v>113</v>
      </c>
      <c r="L96" s="13">
        <v>12</v>
      </c>
    </row>
    <row r="97" spans="11:12" x14ac:dyDescent="0.3">
      <c r="K97" s="12" t="s">
        <v>239</v>
      </c>
      <c r="L97" s="13">
        <v>12</v>
      </c>
    </row>
    <row r="98" spans="11:12" x14ac:dyDescent="0.3">
      <c r="K98" s="12" t="s">
        <v>320</v>
      </c>
      <c r="L98" s="13">
        <v>12</v>
      </c>
    </row>
    <row r="99" spans="11:12" x14ac:dyDescent="0.3">
      <c r="K99" s="12" t="s">
        <v>258</v>
      </c>
      <c r="L99" s="13">
        <v>12</v>
      </c>
    </row>
    <row r="100" spans="11:12" x14ac:dyDescent="0.3">
      <c r="K100" s="12" t="s">
        <v>502</v>
      </c>
      <c r="L100" s="13">
        <v>13</v>
      </c>
    </row>
    <row r="101" spans="11:12" x14ac:dyDescent="0.3">
      <c r="K101" s="12" t="s">
        <v>137</v>
      </c>
      <c r="L101" s="13">
        <v>13</v>
      </c>
    </row>
    <row r="102" spans="11:12" x14ac:dyDescent="0.3">
      <c r="K102" s="12" t="s">
        <v>366</v>
      </c>
      <c r="L102" s="13">
        <v>13</v>
      </c>
    </row>
    <row r="103" spans="11:12" x14ac:dyDescent="0.3">
      <c r="K103" s="12" t="s">
        <v>120</v>
      </c>
      <c r="L103" s="13">
        <v>13</v>
      </c>
    </row>
    <row r="104" spans="11:12" x14ac:dyDescent="0.3">
      <c r="K104" s="12" t="s">
        <v>440</v>
      </c>
      <c r="L104" s="13">
        <v>14</v>
      </c>
    </row>
    <row r="105" spans="11:12" x14ac:dyDescent="0.3">
      <c r="K105" s="12" t="s">
        <v>183</v>
      </c>
      <c r="L105" s="13">
        <v>14</v>
      </c>
    </row>
    <row r="106" spans="11:12" x14ac:dyDescent="0.3">
      <c r="K106" s="12" t="s">
        <v>139</v>
      </c>
      <c r="L106" s="13">
        <v>15</v>
      </c>
    </row>
    <row r="107" spans="11:12" x14ac:dyDescent="0.3">
      <c r="K107" s="12" t="s">
        <v>373</v>
      </c>
      <c r="L107" s="13">
        <v>15</v>
      </c>
    </row>
    <row r="108" spans="11:12" x14ac:dyDescent="0.3">
      <c r="K108" s="12" t="s">
        <v>229</v>
      </c>
      <c r="L108" s="13">
        <v>15</v>
      </c>
    </row>
    <row r="109" spans="11:12" x14ac:dyDescent="0.3">
      <c r="K109" s="12" t="s">
        <v>442</v>
      </c>
      <c r="L109" s="13">
        <v>15</v>
      </c>
    </row>
  </sheetData>
  <mergeCells count="2">
    <mergeCell ref="A1:R1"/>
    <mergeCell ref="A2:O2"/>
  </mergeCells>
  <conditionalFormatting pivot="1" sqref="L25:L109">
    <cfRule type="colorScale" priority="1">
      <colorScale>
        <cfvo type="min"/>
        <cfvo type="max"/>
        <color rgb="FFFF7128"/>
        <color rgb="FF92D050"/>
      </colorScale>
    </cfRule>
  </conditionalFormatting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3A21-0F68-4CC8-9969-8AAA19BA9235}">
  <dimension ref="B2:K27"/>
  <sheetViews>
    <sheetView workbookViewId="0">
      <selection activeCell="I7" sqref="I7"/>
    </sheetView>
  </sheetViews>
  <sheetFormatPr baseColWidth="10" defaultRowHeight="16.5" x14ac:dyDescent="0.3"/>
  <cols>
    <col min="1" max="1" width="10"/>
    <col min="2" max="2" width="11.875" customWidth="1"/>
    <col min="3" max="3" width="14.25" customWidth="1"/>
    <col min="4" max="4" width="13.375" customWidth="1"/>
    <col min="5" max="5" width="14" customWidth="1"/>
    <col min="6" max="6" width="15.375" customWidth="1"/>
    <col min="7" max="7" width="16.25" customWidth="1"/>
    <col min="8" max="8" width="12.75" customWidth="1"/>
    <col min="9" max="9" width="27.375" customWidth="1"/>
    <col min="10" max="10" width="16.25" customWidth="1"/>
    <col min="11" max="11" width="12.375" customWidth="1"/>
    <col min="12" max="12" width="10.75" customWidth="1"/>
    <col min="13" max="13" width="23.5" customWidth="1"/>
  </cols>
  <sheetData>
    <row r="2" spans="2:11" x14ac:dyDescent="0.3">
      <c r="B2" s="28" t="s">
        <v>559</v>
      </c>
      <c r="C2" s="28"/>
      <c r="E2" s="28" t="s">
        <v>558</v>
      </c>
      <c r="F2" s="28"/>
      <c r="G2" s="28"/>
      <c r="I2" s="28" t="s">
        <v>557</v>
      </c>
      <c r="J2" s="28"/>
    </row>
    <row r="3" spans="2:11" x14ac:dyDescent="0.3">
      <c r="B3" t="s">
        <v>0</v>
      </c>
      <c r="C3" t="s">
        <v>1</v>
      </c>
      <c r="E3" t="s">
        <v>4</v>
      </c>
      <c r="F3" t="s">
        <v>5</v>
      </c>
      <c r="G3" t="s">
        <v>6</v>
      </c>
      <c r="I3" t="s">
        <v>13</v>
      </c>
      <c r="J3" t="s">
        <v>1</v>
      </c>
    </row>
    <row r="4" spans="2:11" x14ac:dyDescent="0.3">
      <c r="B4" t="s">
        <v>2</v>
      </c>
      <c r="C4" s="1">
        <v>171675.72</v>
      </c>
      <c r="E4" t="s">
        <v>12</v>
      </c>
      <c r="F4">
        <v>80</v>
      </c>
      <c r="G4" s="2">
        <v>374.14</v>
      </c>
      <c r="I4" t="s">
        <v>566</v>
      </c>
      <c r="J4" s="2">
        <v>133392.44</v>
      </c>
    </row>
    <row r="5" spans="2:11" x14ac:dyDescent="0.3">
      <c r="B5" t="s">
        <v>3</v>
      </c>
      <c r="C5" s="1">
        <v>152560.94</v>
      </c>
      <c r="E5" t="s">
        <v>11</v>
      </c>
      <c r="F5">
        <v>113</v>
      </c>
      <c r="G5" s="2">
        <v>363.85</v>
      </c>
      <c r="I5" t="s">
        <v>568</v>
      </c>
      <c r="J5" s="2">
        <v>141922.21</v>
      </c>
    </row>
    <row r="6" spans="2:11" x14ac:dyDescent="0.3">
      <c r="E6" t="s">
        <v>10</v>
      </c>
      <c r="F6">
        <v>131</v>
      </c>
      <c r="G6" s="2">
        <v>357.57</v>
      </c>
      <c r="I6" t="s">
        <v>567</v>
      </c>
      <c r="J6" s="2">
        <v>48922.01</v>
      </c>
    </row>
    <row r="7" spans="2:11" x14ac:dyDescent="0.3">
      <c r="E7" t="s">
        <v>9</v>
      </c>
      <c r="F7">
        <v>170</v>
      </c>
      <c r="G7" s="2">
        <v>349.75</v>
      </c>
    </row>
    <row r="8" spans="2:11" x14ac:dyDescent="0.3">
      <c r="E8" t="s">
        <v>8</v>
      </c>
      <c r="F8">
        <v>199</v>
      </c>
      <c r="G8" s="2">
        <v>363.32</v>
      </c>
    </row>
    <row r="9" spans="2:11" x14ac:dyDescent="0.3">
      <c r="E9" t="s">
        <v>7</v>
      </c>
      <c r="F9">
        <v>212</v>
      </c>
      <c r="G9" s="2">
        <v>351.84</v>
      </c>
    </row>
    <row r="12" spans="2:11" x14ac:dyDescent="0.3">
      <c r="C12" s="28" t="s">
        <v>560</v>
      </c>
      <c r="D12" s="28"/>
      <c r="E12" s="28"/>
    </row>
    <row r="13" spans="2:11" x14ac:dyDescent="0.3">
      <c r="C13" t="s">
        <v>21</v>
      </c>
      <c r="D13" t="s">
        <v>22</v>
      </c>
      <c r="E13" t="s">
        <v>23</v>
      </c>
      <c r="H13" s="28" t="s">
        <v>561</v>
      </c>
      <c r="I13" s="28"/>
      <c r="J13" s="15"/>
      <c r="K13" s="15"/>
    </row>
    <row r="14" spans="2:11" x14ac:dyDescent="0.3">
      <c r="C14">
        <v>99</v>
      </c>
      <c r="D14" s="2">
        <v>2678.59</v>
      </c>
      <c r="E14">
        <v>7</v>
      </c>
      <c r="H14" t="s">
        <v>14</v>
      </c>
      <c r="I14" s="2" t="s">
        <v>15</v>
      </c>
    </row>
    <row r="15" spans="2:11" x14ac:dyDescent="0.3">
      <c r="C15">
        <v>872</v>
      </c>
      <c r="D15" s="2">
        <v>2221.0500000000002</v>
      </c>
      <c r="E15">
        <v>5</v>
      </c>
      <c r="H15" t="s">
        <v>16</v>
      </c>
      <c r="I15" s="2">
        <v>30782.67</v>
      </c>
    </row>
    <row r="16" spans="2:11" x14ac:dyDescent="0.3">
      <c r="C16">
        <v>220</v>
      </c>
      <c r="D16" s="2">
        <v>2180.5100000000002</v>
      </c>
      <c r="E16">
        <v>4</v>
      </c>
      <c r="H16" t="s">
        <v>17</v>
      </c>
      <c r="I16" s="2">
        <v>30473.47</v>
      </c>
    </row>
    <row r="17" spans="3:9" x14ac:dyDescent="0.3">
      <c r="C17">
        <v>816</v>
      </c>
      <c r="D17" s="2">
        <v>1921.08</v>
      </c>
      <c r="E17">
        <v>4</v>
      </c>
      <c r="H17" t="s">
        <v>18</v>
      </c>
      <c r="I17" s="2">
        <v>29846.84</v>
      </c>
    </row>
    <row r="18" spans="3:9" x14ac:dyDescent="0.3">
      <c r="C18">
        <v>253</v>
      </c>
      <c r="D18" s="2">
        <v>1882.24</v>
      </c>
      <c r="E18">
        <v>4</v>
      </c>
      <c r="H18" t="s">
        <v>19</v>
      </c>
      <c r="I18" s="2">
        <v>26000.58</v>
      </c>
    </row>
    <row r="19" spans="3:9" x14ac:dyDescent="0.3">
      <c r="C19">
        <v>277</v>
      </c>
      <c r="D19" s="2">
        <v>1825.27</v>
      </c>
      <c r="E19">
        <v>4</v>
      </c>
      <c r="H19" t="s">
        <v>20</v>
      </c>
      <c r="I19" s="2">
        <v>24049.94</v>
      </c>
    </row>
    <row r="20" spans="3:9" x14ac:dyDescent="0.3">
      <c r="C20">
        <v>776</v>
      </c>
      <c r="D20" s="2">
        <v>1822.66</v>
      </c>
      <c r="E20">
        <v>4</v>
      </c>
    </row>
    <row r="21" spans="3:9" x14ac:dyDescent="0.3">
      <c r="C21">
        <v>190</v>
      </c>
      <c r="D21" s="2">
        <v>1722.06</v>
      </c>
      <c r="E21">
        <v>5</v>
      </c>
    </row>
    <row r="22" spans="3:9" x14ac:dyDescent="0.3">
      <c r="C22">
        <v>564</v>
      </c>
      <c r="D22" s="2">
        <v>1702.7</v>
      </c>
      <c r="E22">
        <v>3</v>
      </c>
    </row>
    <row r="23" spans="3:9" x14ac:dyDescent="0.3">
      <c r="C23">
        <v>453</v>
      </c>
      <c r="D23" s="2">
        <v>1665.51</v>
      </c>
      <c r="E23">
        <v>3</v>
      </c>
    </row>
    <row r="24" spans="3:9" x14ac:dyDescent="0.3">
      <c r="C24">
        <v>346</v>
      </c>
      <c r="D24" s="2">
        <v>1660.56</v>
      </c>
      <c r="E24">
        <v>4</v>
      </c>
    </row>
    <row r="25" spans="3:9" x14ac:dyDescent="0.3">
      <c r="C25">
        <v>682</v>
      </c>
      <c r="D25" s="2">
        <v>1602.07</v>
      </c>
      <c r="E25">
        <v>4</v>
      </c>
    </row>
    <row r="26" spans="3:9" x14ac:dyDescent="0.3">
      <c r="C26">
        <v>958</v>
      </c>
      <c r="D26" s="2">
        <v>1556.17</v>
      </c>
      <c r="E26">
        <v>6</v>
      </c>
    </row>
    <row r="27" spans="3:9" x14ac:dyDescent="0.3">
      <c r="C27">
        <v>613</v>
      </c>
      <c r="D27" s="2">
        <v>1528.54</v>
      </c>
      <c r="E27">
        <v>4</v>
      </c>
    </row>
  </sheetData>
  <mergeCells count="5">
    <mergeCell ref="B2:C2"/>
    <mergeCell ref="E2:G2"/>
    <mergeCell ref="I2:J2"/>
    <mergeCell ref="H13:I13"/>
    <mergeCell ref="C12:E12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13A79-ABE4-4DCC-A173-31422E41214D}">
  <dimension ref="A1:L906"/>
  <sheetViews>
    <sheetView topLeftCell="G1" workbookViewId="0">
      <selection activeCell="L5" sqref="L5"/>
    </sheetView>
  </sheetViews>
  <sheetFormatPr baseColWidth="10" defaultRowHeight="16.5" x14ac:dyDescent="0.3"/>
  <cols>
    <col min="1" max="1" width="9.25" bestFit="1" customWidth="1"/>
    <col min="2" max="2" width="11.375" bestFit="1" customWidth="1"/>
    <col min="3" max="3" width="12.75" bestFit="1" customWidth="1"/>
    <col min="4" max="4" width="14.875" bestFit="1" customWidth="1"/>
    <col min="5" max="5" width="11.625" bestFit="1" customWidth="1"/>
    <col min="6" max="6" width="14" bestFit="1" customWidth="1"/>
    <col min="7" max="7" width="10.75" bestFit="1" customWidth="1"/>
    <col min="10" max="10" width="17.625" bestFit="1" customWidth="1"/>
    <col min="11" max="11" width="12.75" bestFit="1" customWidth="1"/>
    <col min="12" max="12" width="19.625" style="2" bestFit="1" customWidth="1"/>
    <col min="13" max="26" width="6.75" bestFit="1" customWidth="1"/>
    <col min="27" max="27" width="5.625" bestFit="1" customWidth="1"/>
    <col min="28" max="31" width="6.75" bestFit="1" customWidth="1"/>
    <col min="32" max="43" width="7.875" bestFit="1" customWidth="1"/>
    <col min="44" max="44" width="6.75" bestFit="1" customWidth="1"/>
    <col min="45" max="46" width="7.875" bestFit="1" customWidth="1"/>
    <col min="47" max="47" width="6.75" bestFit="1" customWidth="1"/>
    <col min="48" max="56" width="7.875" bestFit="1" customWidth="1"/>
    <col min="57" max="57" width="6.75" bestFit="1" customWidth="1"/>
    <col min="58" max="65" width="7.875" bestFit="1" customWidth="1"/>
    <col min="66" max="66" width="6.75" bestFit="1" customWidth="1"/>
    <col min="67" max="73" width="7.875" bestFit="1" customWidth="1"/>
    <col min="74" max="74" width="6.75" bestFit="1" customWidth="1"/>
    <col min="75" max="91" width="7.875" bestFit="1" customWidth="1"/>
    <col min="92" max="92" width="6.75" bestFit="1" customWidth="1"/>
    <col min="93" max="96" width="7.875" bestFit="1" customWidth="1"/>
    <col min="97" max="98" width="6.75" bestFit="1" customWidth="1"/>
    <col min="99" max="99" width="7.875" bestFit="1" customWidth="1"/>
    <col min="100" max="100" width="6.75" bestFit="1" customWidth="1"/>
    <col min="101" max="103" width="7.875" bestFit="1" customWidth="1"/>
    <col min="104" max="105" width="6.75" bestFit="1" customWidth="1"/>
    <col min="106" max="107" width="7.875" bestFit="1" customWidth="1"/>
    <col min="108" max="108" width="6.75" bestFit="1" customWidth="1"/>
    <col min="109" max="109" width="7.875" bestFit="1" customWidth="1"/>
    <col min="110" max="110" width="6.75" bestFit="1" customWidth="1"/>
    <col min="111" max="111" width="7.875" bestFit="1" customWidth="1"/>
    <col min="112" max="112" width="6.75" bestFit="1" customWidth="1"/>
    <col min="113" max="113" width="7.875" bestFit="1" customWidth="1"/>
    <col min="114" max="114" width="6.75" bestFit="1" customWidth="1"/>
    <col min="115" max="119" width="7.875" bestFit="1" customWidth="1"/>
    <col min="120" max="120" width="6.75" bestFit="1" customWidth="1"/>
    <col min="121" max="128" width="7.875" bestFit="1" customWidth="1"/>
    <col min="129" max="129" width="6.75" bestFit="1" customWidth="1"/>
    <col min="130" max="138" width="7.875" bestFit="1" customWidth="1"/>
    <col min="139" max="139" width="6.75" bestFit="1" customWidth="1"/>
    <col min="140" max="158" width="7.875" bestFit="1" customWidth="1"/>
    <col min="159" max="159" width="6.75" bestFit="1" customWidth="1"/>
    <col min="160" max="160" width="7.875" bestFit="1" customWidth="1"/>
    <col min="161" max="161" width="6.75" bestFit="1" customWidth="1"/>
    <col min="162" max="163" width="7.875" bestFit="1" customWidth="1"/>
    <col min="164" max="164" width="6.75" bestFit="1" customWidth="1"/>
    <col min="165" max="168" width="7.875" bestFit="1" customWidth="1"/>
    <col min="169" max="169" width="6.75" bestFit="1" customWidth="1"/>
    <col min="170" max="170" width="7.875" bestFit="1" customWidth="1"/>
    <col min="171" max="171" width="6.75" bestFit="1" customWidth="1"/>
    <col min="172" max="176" width="7.875" bestFit="1" customWidth="1"/>
    <col min="177" max="177" width="6.75" bestFit="1" customWidth="1"/>
    <col min="178" max="178" width="7.875" bestFit="1" customWidth="1"/>
    <col min="179" max="179" width="6.75" bestFit="1" customWidth="1"/>
    <col min="180" max="182" width="7.875" bestFit="1" customWidth="1"/>
    <col min="183" max="183" width="6.75" bestFit="1" customWidth="1"/>
    <col min="184" max="188" width="7.875" bestFit="1" customWidth="1"/>
    <col min="189" max="189" width="6.75" bestFit="1" customWidth="1"/>
    <col min="190" max="193" width="7.875" bestFit="1" customWidth="1"/>
    <col min="194" max="194" width="6.75" bestFit="1" customWidth="1"/>
    <col min="195" max="198" width="7.875" bestFit="1" customWidth="1"/>
    <col min="199" max="199" width="6.75" bestFit="1" customWidth="1"/>
    <col min="200" max="205" width="7.875" bestFit="1" customWidth="1"/>
    <col min="206" max="206" width="6.75" bestFit="1" customWidth="1"/>
    <col min="207" max="207" width="7.875" bestFit="1" customWidth="1"/>
    <col min="208" max="208" width="6.75" bestFit="1" customWidth="1"/>
    <col min="209" max="221" width="7.875" bestFit="1" customWidth="1"/>
    <col min="222" max="222" width="6.75" bestFit="1" customWidth="1"/>
    <col min="223" max="230" width="7.875" bestFit="1" customWidth="1"/>
    <col min="231" max="232" width="6.75" bestFit="1" customWidth="1"/>
    <col min="233" max="235" width="7.875" bestFit="1" customWidth="1"/>
    <col min="236" max="236" width="6.75" bestFit="1" customWidth="1"/>
    <col min="237" max="238" width="7.875" bestFit="1" customWidth="1"/>
    <col min="239" max="239" width="6.75" bestFit="1" customWidth="1"/>
    <col min="240" max="241" width="7.875" bestFit="1" customWidth="1"/>
    <col min="242" max="242" width="6.75" bestFit="1" customWidth="1"/>
    <col min="243" max="243" width="7.875" bestFit="1" customWidth="1"/>
    <col min="244" max="244" width="6.75" bestFit="1" customWidth="1"/>
    <col min="245" max="252" width="7.875" bestFit="1" customWidth="1"/>
    <col min="253" max="253" width="6.75" bestFit="1" customWidth="1"/>
    <col min="254" max="254" width="7.875" bestFit="1" customWidth="1"/>
    <col min="255" max="255" width="6.75" bestFit="1" customWidth="1"/>
    <col min="256" max="283" width="7.875" bestFit="1" customWidth="1"/>
    <col min="284" max="284" width="6.75" bestFit="1" customWidth="1"/>
    <col min="285" max="285" width="7.875" bestFit="1" customWidth="1"/>
    <col min="286" max="286" width="6.75" bestFit="1" customWidth="1"/>
    <col min="287" max="288" width="7.875" bestFit="1" customWidth="1"/>
    <col min="289" max="289" width="6.75" bestFit="1" customWidth="1"/>
    <col min="290" max="303" width="7.875" bestFit="1" customWidth="1"/>
    <col min="304" max="304" width="6.75" bestFit="1" customWidth="1"/>
    <col min="305" max="310" width="7.875" bestFit="1" customWidth="1"/>
    <col min="311" max="311" width="6.75" bestFit="1" customWidth="1"/>
    <col min="312" max="318" width="7.875" bestFit="1" customWidth="1"/>
    <col min="319" max="319" width="6.75" bestFit="1" customWidth="1"/>
    <col min="320" max="337" width="7.875" bestFit="1" customWidth="1"/>
    <col min="338" max="338" width="6.75" bestFit="1" customWidth="1"/>
    <col min="339" max="355" width="7.875" bestFit="1" customWidth="1"/>
    <col min="356" max="356" width="6.75" bestFit="1" customWidth="1"/>
    <col min="357" max="359" width="7.875" bestFit="1" customWidth="1"/>
    <col min="360" max="360" width="6.75" bestFit="1" customWidth="1"/>
    <col min="361" max="365" width="7.875" bestFit="1" customWidth="1"/>
    <col min="366" max="366" width="6.75" bestFit="1" customWidth="1"/>
    <col min="367" max="368" width="7.875" bestFit="1" customWidth="1"/>
    <col min="369" max="369" width="6.75" bestFit="1" customWidth="1"/>
    <col min="370" max="370" width="4.5" bestFit="1" customWidth="1"/>
    <col min="371" max="373" width="7.875" bestFit="1" customWidth="1"/>
    <col min="374" max="375" width="6.75" bestFit="1" customWidth="1"/>
    <col min="376" max="389" width="7.875" bestFit="1" customWidth="1"/>
    <col min="390" max="391" width="6.75" bestFit="1" customWidth="1"/>
    <col min="392" max="396" width="7.875" bestFit="1" customWidth="1"/>
    <col min="397" max="397" width="6.75" bestFit="1" customWidth="1"/>
    <col min="398" max="402" width="7.875" bestFit="1" customWidth="1"/>
    <col min="403" max="403" width="6.75" bestFit="1" customWidth="1"/>
    <col min="404" max="404" width="7.875" bestFit="1" customWidth="1"/>
    <col min="405" max="405" width="6.75" bestFit="1" customWidth="1"/>
    <col min="406" max="416" width="7.875" bestFit="1" customWidth="1"/>
    <col min="417" max="417" width="6.75" bestFit="1" customWidth="1"/>
    <col min="418" max="425" width="7.875" bestFit="1" customWidth="1"/>
    <col min="426" max="426" width="4.5" bestFit="1" customWidth="1"/>
    <col min="427" max="427" width="6.75" bestFit="1" customWidth="1"/>
    <col min="428" max="442" width="7.875" bestFit="1" customWidth="1"/>
    <col min="443" max="443" width="6.75" bestFit="1" customWidth="1"/>
    <col min="444" max="445" width="7.875" bestFit="1" customWidth="1"/>
    <col min="446" max="446" width="4.5" bestFit="1" customWidth="1"/>
    <col min="447" max="449" width="7.875" bestFit="1" customWidth="1"/>
    <col min="450" max="450" width="6.75" bestFit="1" customWidth="1"/>
    <col min="451" max="475" width="7.875" bestFit="1" customWidth="1"/>
    <col min="476" max="476" width="6.75" bestFit="1" customWidth="1"/>
    <col min="477" max="495" width="7.875" bestFit="1" customWidth="1"/>
    <col min="496" max="496" width="6.75" bestFit="1" customWidth="1"/>
    <col min="497" max="498" width="7.875" bestFit="1" customWidth="1"/>
    <col min="499" max="499" width="6.75" bestFit="1" customWidth="1"/>
    <col min="500" max="514" width="7.875" bestFit="1" customWidth="1"/>
    <col min="515" max="515" width="6.75" bestFit="1" customWidth="1"/>
    <col min="516" max="527" width="7.875" bestFit="1" customWidth="1"/>
    <col min="528" max="528" width="6.75" bestFit="1" customWidth="1"/>
    <col min="529" max="534" width="7.875" bestFit="1" customWidth="1"/>
    <col min="535" max="535" width="6.75" bestFit="1" customWidth="1"/>
    <col min="536" max="553" width="7.875" bestFit="1" customWidth="1"/>
    <col min="554" max="554" width="4.5" bestFit="1" customWidth="1"/>
    <col min="555" max="574" width="7.875" bestFit="1" customWidth="1"/>
    <col min="575" max="575" width="6.75" bestFit="1" customWidth="1"/>
    <col min="576" max="580" width="7.875" bestFit="1" customWidth="1"/>
    <col min="581" max="581" width="6.75" bestFit="1" customWidth="1"/>
    <col min="582" max="591" width="7.875" bestFit="1" customWidth="1"/>
    <col min="592" max="592" width="6.75" bestFit="1" customWidth="1"/>
    <col min="593" max="599" width="7.875" bestFit="1" customWidth="1"/>
    <col min="600" max="600" width="6.75" bestFit="1" customWidth="1"/>
    <col min="601" max="609" width="7.875" bestFit="1" customWidth="1"/>
    <col min="610" max="611" width="6.75" bestFit="1" customWidth="1"/>
    <col min="612" max="624" width="7.875" bestFit="1" customWidth="1"/>
    <col min="625" max="625" width="6.75" bestFit="1" customWidth="1"/>
    <col min="626" max="628" width="7.875" bestFit="1" customWidth="1"/>
    <col min="629" max="629" width="6.75" bestFit="1" customWidth="1"/>
    <col min="630" max="634" width="7.875" bestFit="1" customWidth="1"/>
    <col min="635" max="635" width="6.75" bestFit="1" customWidth="1"/>
    <col min="636" max="638" width="7.875" bestFit="1" customWidth="1"/>
    <col min="639" max="639" width="6.75" bestFit="1" customWidth="1"/>
    <col min="640" max="642" width="7.875" bestFit="1" customWidth="1"/>
    <col min="643" max="643" width="6.75" bestFit="1" customWidth="1"/>
    <col min="644" max="657" width="7.875" bestFit="1" customWidth="1"/>
    <col min="658" max="658" width="6.75" bestFit="1" customWidth="1"/>
    <col min="659" max="660" width="7.875" bestFit="1" customWidth="1"/>
    <col min="661" max="661" width="6.75" bestFit="1" customWidth="1"/>
    <col min="662" max="686" width="7.875" bestFit="1" customWidth="1"/>
    <col min="687" max="687" width="6.75" bestFit="1" customWidth="1"/>
    <col min="688" max="696" width="7.875" bestFit="1" customWidth="1"/>
    <col min="697" max="697" width="6.75" bestFit="1" customWidth="1"/>
    <col min="698" max="705" width="7.875" bestFit="1" customWidth="1"/>
    <col min="706" max="706" width="6.75" bestFit="1" customWidth="1"/>
    <col min="707" max="710" width="7.875" bestFit="1" customWidth="1"/>
    <col min="711" max="711" width="6.75" bestFit="1" customWidth="1"/>
    <col min="712" max="724" width="7.875" bestFit="1" customWidth="1"/>
    <col min="725" max="725" width="6.75" bestFit="1" customWidth="1"/>
    <col min="726" max="734" width="7.875" bestFit="1" customWidth="1"/>
    <col min="735" max="735" width="6.75" bestFit="1" customWidth="1"/>
    <col min="736" max="749" width="7.875" bestFit="1" customWidth="1"/>
    <col min="750" max="750" width="6.75" bestFit="1" customWidth="1"/>
    <col min="751" max="753" width="7.875" bestFit="1" customWidth="1"/>
    <col min="754" max="754" width="6.75" bestFit="1" customWidth="1"/>
    <col min="755" max="766" width="7.875" bestFit="1" customWidth="1"/>
    <col min="767" max="767" width="6.75" bestFit="1" customWidth="1"/>
    <col min="768" max="784" width="7.875" bestFit="1" customWidth="1"/>
    <col min="785" max="785" width="6.75" bestFit="1" customWidth="1"/>
    <col min="786" max="786" width="7.875" bestFit="1" customWidth="1"/>
    <col min="787" max="787" width="6.75" bestFit="1" customWidth="1"/>
    <col min="788" max="793" width="7.875" bestFit="1" customWidth="1"/>
    <col min="794" max="794" width="4.5" bestFit="1" customWidth="1"/>
    <col min="795" max="802" width="7.875" bestFit="1" customWidth="1"/>
    <col min="803" max="803" width="6.75" bestFit="1" customWidth="1"/>
    <col min="804" max="806" width="7.875" bestFit="1" customWidth="1"/>
    <col min="807" max="807" width="6.75" bestFit="1" customWidth="1"/>
    <col min="808" max="808" width="7.875" bestFit="1" customWidth="1"/>
    <col min="809" max="809" width="6.75" bestFit="1" customWidth="1"/>
    <col min="810" max="813" width="7.875" bestFit="1" customWidth="1"/>
    <col min="814" max="814" width="6.75" bestFit="1" customWidth="1"/>
    <col min="815" max="815" width="7.875" bestFit="1" customWidth="1"/>
    <col min="816" max="816" width="4.5" bestFit="1" customWidth="1"/>
    <col min="817" max="831" width="7.875" bestFit="1" customWidth="1"/>
    <col min="832" max="832" width="6.75" bestFit="1" customWidth="1"/>
    <col min="833" max="834" width="7.875" bestFit="1" customWidth="1"/>
    <col min="835" max="836" width="6.75" bestFit="1" customWidth="1"/>
    <col min="837" max="839" width="7.875" bestFit="1" customWidth="1"/>
    <col min="840" max="840" width="6.75" bestFit="1" customWidth="1"/>
    <col min="841" max="842" width="7.875" bestFit="1" customWidth="1"/>
    <col min="843" max="843" width="6.75" bestFit="1" customWidth="1"/>
    <col min="844" max="860" width="7.875" bestFit="1" customWidth="1"/>
    <col min="861" max="861" width="6.75" bestFit="1" customWidth="1"/>
    <col min="862" max="864" width="7.875" bestFit="1" customWidth="1"/>
    <col min="865" max="865" width="6.75" bestFit="1" customWidth="1"/>
    <col min="866" max="866" width="7.875" bestFit="1" customWidth="1"/>
    <col min="867" max="867" width="6.75" bestFit="1" customWidth="1"/>
    <col min="868" max="870" width="7.875" bestFit="1" customWidth="1"/>
    <col min="871" max="871" width="6.75" bestFit="1" customWidth="1"/>
    <col min="872" max="872" width="7.875" bestFit="1" customWidth="1"/>
    <col min="873" max="873" width="6.75" bestFit="1" customWidth="1"/>
    <col min="874" max="875" width="7.875" bestFit="1" customWidth="1"/>
    <col min="876" max="876" width="6.75" bestFit="1" customWidth="1"/>
    <col min="877" max="877" width="7.875" bestFit="1" customWidth="1"/>
    <col min="878" max="878" width="6.75" bestFit="1" customWidth="1"/>
    <col min="879" max="900" width="7.875" bestFit="1" customWidth="1"/>
    <col min="901" max="901" width="6.75" bestFit="1" customWidth="1"/>
    <col min="902" max="903" width="7.875" bestFit="1" customWidth="1"/>
    <col min="904" max="904" width="6.75" bestFit="1" customWidth="1"/>
    <col min="905" max="906" width="7.875" bestFit="1" customWidth="1"/>
    <col min="907" max="907" width="6.75" bestFit="1" customWidth="1"/>
    <col min="908" max="909" width="7.875" bestFit="1" customWidth="1"/>
    <col min="910" max="910" width="12.75" bestFit="1" customWidth="1"/>
  </cols>
  <sheetData>
    <row r="1" spans="1:12" x14ac:dyDescent="0.3">
      <c r="A1" t="s">
        <v>550</v>
      </c>
      <c r="B1" t="s">
        <v>551</v>
      </c>
      <c r="C1" t="s">
        <v>552</v>
      </c>
      <c r="D1" t="s">
        <v>553</v>
      </c>
      <c r="E1" t="s">
        <v>554</v>
      </c>
      <c r="F1" t="s">
        <v>555</v>
      </c>
      <c r="G1" t="s">
        <v>556</v>
      </c>
      <c r="H1" t="s">
        <v>549</v>
      </c>
    </row>
    <row r="2" spans="1:12" x14ac:dyDescent="0.3">
      <c r="A2">
        <v>10</v>
      </c>
      <c r="B2" t="s">
        <v>2</v>
      </c>
      <c r="C2">
        <v>0</v>
      </c>
      <c r="D2">
        <v>299.7</v>
      </c>
      <c r="E2" s="8">
        <v>45798</v>
      </c>
      <c r="F2" t="s">
        <v>568</v>
      </c>
      <c r="G2">
        <v>195</v>
      </c>
      <c r="H2" t="s">
        <v>8</v>
      </c>
    </row>
    <row r="3" spans="1:12" x14ac:dyDescent="0.3">
      <c r="A3">
        <v>100</v>
      </c>
      <c r="B3" t="s">
        <v>3</v>
      </c>
      <c r="C3">
        <v>0</v>
      </c>
      <c r="D3">
        <v>681.05</v>
      </c>
      <c r="E3" s="8">
        <v>45768</v>
      </c>
      <c r="F3" s="8" t="s">
        <v>566</v>
      </c>
      <c r="G3">
        <v>518</v>
      </c>
      <c r="H3" t="s">
        <v>7</v>
      </c>
    </row>
    <row r="4" spans="1:12" x14ac:dyDescent="0.3">
      <c r="A4">
        <v>1000</v>
      </c>
      <c r="B4" t="s">
        <v>2</v>
      </c>
      <c r="C4">
        <v>0</v>
      </c>
      <c r="D4">
        <v>324.5</v>
      </c>
      <c r="E4" s="8">
        <v>45797</v>
      </c>
      <c r="F4" t="s">
        <v>568</v>
      </c>
      <c r="G4">
        <v>439</v>
      </c>
      <c r="H4" t="s">
        <v>7</v>
      </c>
    </row>
    <row r="5" spans="1:12" x14ac:dyDescent="0.3">
      <c r="A5">
        <v>1001</v>
      </c>
      <c r="B5" t="s">
        <v>2</v>
      </c>
      <c r="C5">
        <v>0</v>
      </c>
      <c r="D5">
        <v>287.85000000000002</v>
      </c>
      <c r="E5" s="8">
        <v>45752</v>
      </c>
      <c r="F5" s="8" t="s">
        <v>566</v>
      </c>
      <c r="G5">
        <v>349</v>
      </c>
      <c r="H5" t="s">
        <v>7</v>
      </c>
      <c r="K5" s="11" t="s">
        <v>549</v>
      </c>
      <c r="L5" s="2" t="s">
        <v>569</v>
      </c>
    </row>
    <row r="6" spans="1:12" x14ac:dyDescent="0.3">
      <c r="A6">
        <v>1003</v>
      </c>
      <c r="B6" t="s">
        <v>3</v>
      </c>
      <c r="C6">
        <v>0</v>
      </c>
      <c r="D6">
        <v>430.64</v>
      </c>
      <c r="E6" s="8">
        <v>45814</v>
      </c>
      <c r="F6" s="8" t="s">
        <v>567</v>
      </c>
      <c r="G6">
        <v>727</v>
      </c>
      <c r="H6" t="s">
        <v>12</v>
      </c>
      <c r="K6" s="12" t="s">
        <v>7</v>
      </c>
      <c r="L6" s="2">
        <v>32968.17</v>
      </c>
    </row>
    <row r="7" spans="1:12" x14ac:dyDescent="0.3">
      <c r="A7">
        <v>1004</v>
      </c>
      <c r="B7" t="s">
        <v>3</v>
      </c>
      <c r="C7">
        <v>0</v>
      </c>
      <c r="D7">
        <v>104.73</v>
      </c>
      <c r="E7" s="8">
        <v>45774</v>
      </c>
      <c r="F7" s="8" t="s">
        <v>566</v>
      </c>
      <c r="G7">
        <v>983</v>
      </c>
      <c r="H7" t="s">
        <v>7</v>
      </c>
      <c r="K7" s="12" t="s">
        <v>8</v>
      </c>
      <c r="L7" s="2">
        <v>31483.700000000004</v>
      </c>
    </row>
    <row r="8" spans="1:12" x14ac:dyDescent="0.3">
      <c r="A8">
        <v>1006</v>
      </c>
      <c r="B8" t="s">
        <v>2</v>
      </c>
      <c r="C8">
        <v>0</v>
      </c>
      <c r="D8">
        <v>249.21</v>
      </c>
      <c r="E8" s="8">
        <v>45782</v>
      </c>
      <c r="F8" t="s">
        <v>568</v>
      </c>
      <c r="G8">
        <v>309</v>
      </c>
      <c r="H8" t="s">
        <v>11</v>
      </c>
      <c r="K8" s="12" t="s">
        <v>9</v>
      </c>
      <c r="L8" s="2">
        <v>29246.63</v>
      </c>
    </row>
    <row r="9" spans="1:12" x14ac:dyDescent="0.3">
      <c r="A9">
        <v>1007</v>
      </c>
      <c r="B9" t="s">
        <v>3</v>
      </c>
      <c r="C9">
        <v>0</v>
      </c>
      <c r="D9">
        <v>437.52</v>
      </c>
      <c r="E9" s="8">
        <v>45763</v>
      </c>
      <c r="F9" s="8" t="s">
        <v>566</v>
      </c>
      <c r="G9">
        <v>53</v>
      </c>
      <c r="H9" t="s">
        <v>9</v>
      </c>
      <c r="K9" s="12" t="s">
        <v>10</v>
      </c>
      <c r="L9" s="2">
        <v>23650.310000000005</v>
      </c>
    </row>
    <row r="10" spans="1:12" x14ac:dyDescent="0.3">
      <c r="A10">
        <v>1008</v>
      </c>
      <c r="B10" t="s">
        <v>3</v>
      </c>
      <c r="C10">
        <v>0</v>
      </c>
      <c r="D10">
        <v>386.92</v>
      </c>
      <c r="E10" s="8">
        <v>45801</v>
      </c>
      <c r="F10" t="s">
        <v>568</v>
      </c>
      <c r="G10">
        <v>593</v>
      </c>
      <c r="H10" t="s">
        <v>8</v>
      </c>
      <c r="K10" s="12" t="s">
        <v>11</v>
      </c>
      <c r="L10" s="2">
        <v>13644.120000000003</v>
      </c>
    </row>
    <row r="11" spans="1:12" x14ac:dyDescent="0.3">
      <c r="A11">
        <v>1011</v>
      </c>
      <c r="B11" t="s">
        <v>3</v>
      </c>
      <c r="C11">
        <v>0</v>
      </c>
      <c r="D11">
        <v>212.87</v>
      </c>
      <c r="E11" s="8">
        <v>45764</v>
      </c>
      <c r="F11" s="8" t="s">
        <v>566</v>
      </c>
      <c r="G11">
        <v>161</v>
      </c>
      <c r="H11" t="s">
        <v>11</v>
      </c>
      <c r="K11" s="12" t="s">
        <v>12</v>
      </c>
      <c r="L11" s="2">
        <v>10929.280000000002</v>
      </c>
    </row>
    <row r="12" spans="1:12" x14ac:dyDescent="0.3">
      <c r="A12">
        <v>1013</v>
      </c>
      <c r="B12" t="s">
        <v>3</v>
      </c>
      <c r="C12">
        <v>0</v>
      </c>
      <c r="D12">
        <v>178.68</v>
      </c>
      <c r="E12" s="8">
        <v>45777</v>
      </c>
      <c r="F12" s="8" t="s">
        <v>566</v>
      </c>
      <c r="G12">
        <v>296</v>
      </c>
      <c r="H12" t="s">
        <v>8</v>
      </c>
      <c r="K12" s="12" t="s">
        <v>526</v>
      </c>
      <c r="L12" s="2">
        <v>141922.21</v>
      </c>
    </row>
    <row r="13" spans="1:12" x14ac:dyDescent="0.3">
      <c r="A13">
        <v>1014</v>
      </c>
      <c r="B13" t="s">
        <v>2</v>
      </c>
      <c r="C13">
        <v>0</v>
      </c>
      <c r="D13">
        <v>175.37</v>
      </c>
      <c r="E13" s="8">
        <v>45793</v>
      </c>
      <c r="F13" t="s">
        <v>568</v>
      </c>
      <c r="G13">
        <v>578</v>
      </c>
      <c r="H13" t="s">
        <v>7</v>
      </c>
      <c r="L13"/>
    </row>
    <row r="14" spans="1:12" x14ac:dyDescent="0.3">
      <c r="A14">
        <v>1015</v>
      </c>
      <c r="B14" t="s">
        <v>3</v>
      </c>
      <c r="C14">
        <v>0</v>
      </c>
      <c r="D14">
        <v>355.88</v>
      </c>
      <c r="E14" s="8">
        <v>45804</v>
      </c>
      <c r="F14" t="s">
        <v>568</v>
      </c>
      <c r="G14">
        <v>151</v>
      </c>
      <c r="H14" t="s">
        <v>11</v>
      </c>
      <c r="L14"/>
    </row>
    <row r="15" spans="1:12" x14ac:dyDescent="0.3">
      <c r="A15">
        <v>1016</v>
      </c>
      <c r="B15" t="s">
        <v>2</v>
      </c>
      <c r="C15">
        <v>0</v>
      </c>
      <c r="D15">
        <v>288.61</v>
      </c>
      <c r="E15" s="8">
        <v>45769</v>
      </c>
      <c r="F15" s="8" t="s">
        <v>566</v>
      </c>
      <c r="G15">
        <v>973</v>
      </c>
      <c r="H15" t="s">
        <v>9</v>
      </c>
      <c r="L15"/>
    </row>
    <row r="16" spans="1:12" x14ac:dyDescent="0.3">
      <c r="A16">
        <v>1017</v>
      </c>
      <c r="B16" t="s">
        <v>3</v>
      </c>
      <c r="C16">
        <v>0</v>
      </c>
      <c r="D16">
        <v>274.38</v>
      </c>
      <c r="E16" s="8">
        <v>45799</v>
      </c>
      <c r="F16" t="s">
        <v>568</v>
      </c>
      <c r="G16">
        <v>613</v>
      </c>
      <c r="H16" t="s">
        <v>10</v>
      </c>
      <c r="L16"/>
    </row>
    <row r="17" spans="1:12" x14ac:dyDescent="0.3">
      <c r="A17">
        <v>1018</v>
      </c>
      <c r="B17" t="s">
        <v>2</v>
      </c>
      <c r="C17">
        <v>0</v>
      </c>
      <c r="D17">
        <v>272.08</v>
      </c>
      <c r="E17" s="8">
        <v>45793</v>
      </c>
      <c r="F17" t="s">
        <v>568</v>
      </c>
      <c r="G17">
        <v>462</v>
      </c>
      <c r="H17" t="s">
        <v>9</v>
      </c>
      <c r="L17"/>
    </row>
    <row r="18" spans="1:12" x14ac:dyDescent="0.3">
      <c r="A18">
        <v>1019</v>
      </c>
      <c r="B18" t="s">
        <v>2</v>
      </c>
      <c r="C18">
        <v>1</v>
      </c>
      <c r="D18">
        <v>363.76</v>
      </c>
      <c r="E18" s="8">
        <v>45783</v>
      </c>
      <c r="F18" t="s">
        <v>568</v>
      </c>
      <c r="G18">
        <v>43</v>
      </c>
      <c r="H18" t="s">
        <v>7</v>
      </c>
      <c r="L18"/>
    </row>
    <row r="19" spans="1:12" x14ac:dyDescent="0.3">
      <c r="A19">
        <v>102</v>
      </c>
      <c r="B19" t="s">
        <v>3</v>
      </c>
      <c r="C19">
        <v>0</v>
      </c>
      <c r="D19">
        <v>289.57</v>
      </c>
      <c r="E19" s="8">
        <v>45822</v>
      </c>
      <c r="F19" s="8" t="s">
        <v>567</v>
      </c>
      <c r="G19">
        <v>692</v>
      </c>
      <c r="H19" t="s">
        <v>8</v>
      </c>
      <c r="L19"/>
    </row>
    <row r="20" spans="1:12" x14ac:dyDescent="0.3">
      <c r="A20">
        <v>1020</v>
      </c>
      <c r="B20" t="s">
        <v>2</v>
      </c>
      <c r="C20">
        <v>0</v>
      </c>
      <c r="D20">
        <v>423.57</v>
      </c>
      <c r="E20" s="8">
        <v>45794</v>
      </c>
      <c r="F20" t="s">
        <v>568</v>
      </c>
      <c r="G20">
        <v>120</v>
      </c>
      <c r="H20" t="s">
        <v>7</v>
      </c>
      <c r="L20"/>
    </row>
    <row r="21" spans="1:12" x14ac:dyDescent="0.3">
      <c r="A21">
        <v>1024</v>
      </c>
      <c r="B21" t="s">
        <v>3</v>
      </c>
      <c r="C21">
        <v>0</v>
      </c>
      <c r="D21">
        <v>391.65</v>
      </c>
      <c r="E21" s="8">
        <v>45762</v>
      </c>
      <c r="F21" s="8" t="s">
        <v>566</v>
      </c>
      <c r="G21">
        <v>331</v>
      </c>
      <c r="H21" t="s">
        <v>11</v>
      </c>
      <c r="L21"/>
    </row>
    <row r="22" spans="1:12" x14ac:dyDescent="0.3">
      <c r="A22">
        <v>1025</v>
      </c>
      <c r="B22" t="s">
        <v>3</v>
      </c>
      <c r="C22">
        <v>0</v>
      </c>
      <c r="D22">
        <v>89.97</v>
      </c>
      <c r="E22" s="8">
        <v>45806</v>
      </c>
      <c r="F22" t="s">
        <v>568</v>
      </c>
      <c r="G22">
        <v>318</v>
      </c>
      <c r="H22" t="s">
        <v>8</v>
      </c>
      <c r="L22"/>
    </row>
    <row r="23" spans="1:12" x14ac:dyDescent="0.3">
      <c r="A23">
        <v>1026</v>
      </c>
      <c r="B23" t="s">
        <v>2</v>
      </c>
      <c r="C23">
        <v>0</v>
      </c>
      <c r="D23">
        <v>218.4</v>
      </c>
      <c r="E23" s="8">
        <v>45796</v>
      </c>
      <c r="F23" t="s">
        <v>568</v>
      </c>
      <c r="G23">
        <v>190</v>
      </c>
      <c r="H23" t="s">
        <v>9</v>
      </c>
    </row>
    <row r="24" spans="1:12" x14ac:dyDescent="0.3">
      <c r="A24">
        <v>1028</v>
      </c>
      <c r="B24" t="s">
        <v>2</v>
      </c>
      <c r="C24">
        <v>0</v>
      </c>
      <c r="D24">
        <v>288.52</v>
      </c>
      <c r="E24" s="8">
        <v>45802</v>
      </c>
      <c r="F24" t="s">
        <v>568</v>
      </c>
      <c r="G24">
        <v>475</v>
      </c>
      <c r="H24" t="s">
        <v>9</v>
      </c>
    </row>
    <row r="25" spans="1:12" x14ac:dyDescent="0.3">
      <c r="A25">
        <v>1029</v>
      </c>
      <c r="B25" t="s">
        <v>2</v>
      </c>
      <c r="C25">
        <v>0</v>
      </c>
      <c r="D25">
        <v>229.7</v>
      </c>
      <c r="E25" s="8">
        <v>45764</v>
      </c>
      <c r="F25" s="8" t="s">
        <v>566</v>
      </c>
      <c r="G25">
        <v>554</v>
      </c>
      <c r="H25" t="s">
        <v>8</v>
      </c>
    </row>
    <row r="26" spans="1:12" x14ac:dyDescent="0.3">
      <c r="A26">
        <v>103</v>
      </c>
      <c r="B26" t="s">
        <v>2</v>
      </c>
      <c r="C26">
        <v>0</v>
      </c>
      <c r="D26">
        <v>452.53</v>
      </c>
      <c r="E26" s="8">
        <v>45821</v>
      </c>
      <c r="F26" s="8" t="s">
        <v>567</v>
      </c>
      <c r="G26">
        <v>76</v>
      </c>
      <c r="H26" t="s">
        <v>7</v>
      </c>
    </row>
    <row r="27" spans="1:12" x14ac:dyDescent="0.3">
      <c r="A27">
        <v>1030</v>
      </c>
      <c r="B27" t="s">
        <v>3</v>
      </c>
      <c r="C27">
        <v>0</v>
      </c>
      <c r="D27">
        <v>261.25</v>
      </c>
      <c r="E27" s="8">
        <v>45824</v>
      </c>
      <c r="F27" s="8" t="s">
        <v>567</v>
      </c>
      <c r="G27">
        <v>575</v>
      </c>
      <c r="H27" t="s">
        <v>10</v>
      </c>
    </row>
    <row r="28" spans="1:12" x14ac:dyDescent="0.3">
      <c r="A28">
        <v>1031</v>
      </c>
      <c r="B28" t="s">
        <v>3</v>
      </c>
      <c r="C28">
        <v>0</v>
      </c>
      <c r="D28">
        <v>281.67</v>
      </c>
      <c r="E28" s="8">
        <v>45753</v>
      </c>
      <c r="F28" s="8" t="s">
        <v>566</v>
      </c>
      <c r="G28">
        <v>896</v>
      </c>
      <c r="H28" t="s">
        <v>12</v>
      </c>
    </row>
    <row r="29" spans="1:12" x14ac:dyDescent="0.3">
      <c r="A29">
        <v>1034</v>
      </c>
      <c r="B29" t="s">
        <v>3</v>
      </c>
      <c r="C29">
        <v>0</v>
      </c>
      <c r="D29">
        <v>192.63</v>
      </c>
      <c r="E29" s="8">
        <v>45808</v>
      </c>
      <c r="F29" t="s">
        <v>568</v>
      </c>
      <c r="G29">
        <v>342</v>
      </c>
      <c r="H29" t="s">
        <v>10</v>
      </c>
    </row>
    <row r="30" spans="1:12" x14ac:dyDescent="0.3">
      <c r="A30">
        <v>1035</v>
      </c>
      <c r="B30" t="s">
        <v>2</v>
      </c>
      <c r="C30">
        <v>0</v>
      </c>
      <c r="D30">
        <v>215.07</v>
      </c>
      <c r="E30" s="8">
        <v>45782</v>
      </c>
      <c r="F30" t="s">
        <v>568</v>
      </c>
      <c r="G30">
        <v>857</v>
      </c>
      <c r="H30" t="s">
        <v>7</v>
      </c>
    </row>
    <row r="31" spans="1:12" x14ac:dyDescent="0.3">
      <c r="A31">
        <v>1036</v>
      </c>
      <c r="B31" t="s">
        <v>2</v>
      </c>
      <c r="C31">
        <v>0</v>
      </c>
      <c r="D31">
        <v>199.55</v>
      </c>
      <c r="E31" s="8">
        <v>45821</v>
      </c>
      <c r="F31" s="8" t="s">
        <v>567</v>
      </c>
      <c r="G31">
        <v>793</v>
      </c>
      <c r="H31" t="s">
        <v>9</v>
      </c>
    </row>
    <row r="32" spans="1:12" x14ac:dyDescent="0.3">
      <c r="A32">
        <v>1038</v>
      </c>
      <c r="B32" t="s">
        <v>2</v>
      </c>
      <c r="C32">
        <v>0</v>
      </c>
      <c r="D32">
        <v>224.2</v>
      </c>
      <c r="E32" s="8">
        <v>45781</v>
      </c>
      <c r="F32" t="s">
        <v>568</v>
      </c>
      <c r="G32">
        <v>203</v>
      </c>
      <c r="H32" t="s">
        <v>9</v>
      </c>
    </row>
    <row r="33" spans="1:8" x14ac:dyDescent="0.3">
      <c r="A33">
        <v>1039</v>
      </c>
      <c r="B33" t="s">
        <v>3</v>
      </c>
      <c r="C33">
        <v>0</v>
      </c>
      <c r="D33">
        <v>405.63</v>
      </c>
      <c r="E33" s="8">
        <v>45821</v>
      </c>
      <c r="F33" s="8" t="s">
        <v>567</v>
      </c>
      <c r="G33">
        <v>460</v>
      </c>
      <c r="H33" t="s">
        <v>10</v>
      </c>
    </row>
    <row r="34" spans="1:8" x14ac:dyDescent="0.3">
      <c r="A34">
        <v>104</v>
      </c>
      <c r="B34" t="s">
        <v>3</v>
      </c>
      <c r="C34">
        <v>0</v>
      </c>
      <c r="D34">
        <v>555.25</v>
      </c>
      <c r="E34" s="8">
        <v>45767</v>
      </c>
      <c r="F34" s="8" t="s">
        <v>566</v>
      </c>
      <c r="G34">
        <v>373</v>
      </c>
      <c r="H34" t="s">
        <v>11</v>
      </c>
    </row>
    <row r="35" spans="1:8" x14ac:dyDescent="0.3">
      <c r="A35">
        <v>1040</v>
      </c>
      <c r="B35" t="s">
        <v>3</v>
      </c>
      <c r="C35">
        <v>1</v>
      </c>
      <c r="D35">
        <v>277.8</v>
      </c>
      <c r="E35" s="8">
        <v>45793</v>
      </c>
      <c r="F35" t="s">
        <v>568</v>
      </c>
      <c r="G35">
        <v>608</v>
      </c>
      <c r="H35" t="s">
        <v>8</v>
      </c>
    </row>
    <row r="36" spans="1:8" x14ac:dyDescent="0.3">
      <c r="A36">
        <v>1042</v>
      </c>
      <c r="B36" t="s">
        <v>3</v>
      </c>
      <c r="C36">
        <v>1</v>
      </c>
      <c r="D36">
        <v>45.5</v>
      </c>
      <c r="E36" s="8">
        <v>45790</v>
      </c>
      <c r="F36" t="s">
        <v>568</v>
      </c>
      <c r="G36">
        <v>822</v>
      </c>
      <c r="H36" t="s">
        <v>7</v>
      </c>
    </row>
    <row r="37" spans="1:8" x14ac:dyDescent="0.3">
      <c r="A37">
        <v>1044</v>
      </c>
      <c r="B37" t="s">
        <v>3</v>
      </c>
      <c r="C37">
        <v>0</v>
      </c>
      <c r="D37">
        <v>428.76</v>
      </c>
      <c r="E37" s="8">
        <v>45777</v>
      </c>
      <c r="F37" s="8" t="s">
        <v>566</v>
      </c>
      <c r="G37">
        <v>268</v>
      </c>
      <c r="H37" t="s">
        <v>7</v>
      </c>
    </row>
    <row r="38" spans="1:8" x14ac:dyDescent="0.3">
      <c r="A38">
        <v>1045</v>
      </c>
      <c r="B38" t="s">
        <v>2</v>
      </c>
      <c r="C38">
        <v>0</v>
      </c>
      <c r="D38">
        <v>288.98</v>
      </c>
      <c r="E38" s="8">
        <v>45791</v>
      </c>
      <c r="F38" t="s">
        <v>568</v>
      </c>
      <c r="G38">
        <v>113</v>
      </c>
      <c r="H38" t="s">
        <v>7</v>
      </c>
    </row>
    <row r="39" spans="1:8" x14ac:dyDescent="0.3">
      <c r="A39">
        <v>1047</v>
      </c>
      <c r="B39" t="s">
        <v>2</v>
      </c>
      <c r="C39">
        <v>0</v>
      </c>
      <c r="D39">
        <v>441.52</v>
      </c>
      <c r="E39" s="8">
        <v>45764</v>
      </c>
      <c r="F39" s="8" t="s">
        <v>566</v>
      </c>
      <c r="G39">
        <v>161</v>
      </c>
      <c r="H39" t="s">
        <v>11</v>
      </c>
    </row>
    <row r="40" spans="1:8" x14ac:dyDescent="0.3">
      <c r="A40">
        <v>1049</v>
      </c>
      <c r="B40" t="s">
        <v>3</v>
      </c>
      <c r="C40">
        <v>0</v>
      </c>
      <c r="D40">
        <v>291.23</v>
      </c>
      <c r="E40" s="8">
        <v>45766</v>
      </c>
      <c r="F40" s="8" t="s">
        <v>566</v>
      </c>
      <c r="G40">
        <v>294</v>
      </c>
      <c r="H40" t="s">
        <v>9</v>
      </c>
    </row>
    <row r="41" spans="1:8" x14ac:dyDescent="0.3">
      <c r="A41">
        <v>1050</v>
      </c>
      <c r="B41" t="s">
        <v>2</v>
      </c>
      <c r="C41">
        <v>1</v>
      </c>
      <c r="D41">
        <v>376.24</v>
      </c>
      <c r="E41" s="8">
        <v>45753</v>
      </c>
      <c r="F41" s="8" t="s">
        <v>566</v>
      </c>
      <c r="G41">
        <v>122</v>
      </c>
      <c r="H41" t="s">
        <v>7</v>
      </c>
    </row>
    <row r="42" spans="1:8" x14ac:dyDescent="0.3">
      <c r="A42">
        <v>1052</v>
      </c>
      <c r="B42" t="s">
        <v>2</v>
      </c>
      <c r="C42">
        <v>0</v>
      </c>
      <c r="D42">
        <v>189.24</v>
      </c>
      <c r="E42" s="8">
        <v>45771</v>
      </c>
      <c r="F42" s="8" t="s">
        <v>566</v>
      </c>
      <c r="G42">
        <v>563</v>
      </c>
      <c r="H42" t="s">
        <v>10</v>
      </c>
    </row>
    <row r="43" spans="1:8" x14ac:dyDescent="0.3">
      <c r="A43">
        <v>1053</v>
      </c>
      <c r="B43" t="s">
        <v>2</v>
      </c>
      <c r="C43">
        <v>0</v>
      </c>
      <c r="D43">
        <v>300.19</v>
      </c>
      <c r="E43" s="8">
        <v>45761</v>
      </c>
      <c r="F43" s="8" t="s">
        <v>566</v>
      </c>
      <c r="G43">
        <v>620</v>
      </c>
      <c r="H43" t="s">
        <v>10</v>
      </c>
    </row>
    <row r="44" spans="1:8" x14ac:dyDescent="0.3">
      <c r="A44">
        <v>1054</v>
      </c>
      <c r="B44" t="s">
        <v>3</v>
      </c>
      <c r="C44">
        <v>0</v>
      </c>
      <c r="D44">
        <v>238.03</v>
      </c>
      <c r="E44" s="8">
        <v>45775</v>
      </c>
      <c r="F44" s="8" t="s">
        <v>566</v>
      </c>
      <c r="G44">
        <v>493</v>
      </c>
      <c r="H44" t="s">
        <v>7</v>
      </c>
    </row>
    <row r="45" spans="1:8" x14ac:dyDescent="0.3">
      <c r="A45">
        <v>1055</v>
      </c>
      <c r="B45" t="s">
        <v>3</v>
      </c>
      <c r="C45">
        <v>0</v>
      </c>
      <c r="D45">
        <v>297.77999999999997</v>
      </c>
      <c r="E45" s="8">
        <v>45798</v>
      </c>
      <c r="F45" t="s">
        <v>568</v>
      </c>
      <c r="G45">
        <v>492</v>
      </c>
      <c r="H45" t="s">
        <v>7</v>
      </c>
    </row>
    <row r="46" spans="1:8" x14ac:dyDescent="0.3">
      <c r="A46">
        <v>1058</v>
      </c>
      <c r="B46" t="s">
        <v>2</v>
      </c>
      <c r="C46">
        <v>0</v>
      </c>
      <c r="D46">
        <v>339.2</v>
      </c>
      <c r="E46" s="8">
        <v>45803</v>
      </c>
      <c r="F46" t="s">
        <v>568</v>
      </c>
      <c r="G46">
        <v>163</v>
      </c>
      <c r="H46" t="s">
        <v>9</v>
      </c>
    </row>
    <row r="47" spans="1:8" x14ac:dyDescent="0.3">
      <c r="A47">
        <v>1059</v>
      </c>
      <c r="B47" t="s">
        <v>3</v>
      </c>
      <c r="C47">
        <v>1</v>
      </c>
      <c r="D47">
        <v>291.47000000000003</v>
      </c>
      <c r="E47" s="8">
        <v>45795</v>
      </c>
      <c r="F47" t="s">
        <v>568</v>
      </c>
      <c r="G47">
        <v>640</v>
      </c>
      <c r="H47" t="s">
        <v>8</v>
      </c>
    </row>
    <row r="48" spans="1:8" x14ac:dyDescent="0.3">
      <c r="A48">
        <v>106</v>
      </c>
      <c r="B48" t="s">
        <v>2</v>
      </c>
      <c r="C48">
        <v>0</v>
      </c>
      <c r="D48">
        <v>298.75</v>
      </c>
      <c r="E48" s="8">
        <v>45772</v>
      </c>
      <c r="F48" s="8" t="s">
        <v>566</v>
      </c>
      <c r="G48">
        <v>21</v>
      </c>
      <c r="H48" t="s">
        <v>8</v>
      </c>
    </row>
    <row r="49" spans="1:8" x14ac:dyDescent="0.3">
      <c r="A49">
        <v>1060</v>
      </c>
      <c r="B49" t="s">
        <v>3</v>
      </c>
      <c r="C49">
        <v>1</v>
      </c>
      <c r="D49">
        <v>64.19</v>
      </c>
      <c r="E49" s="8">
        <v>45795</v>
      </c>
      <c r="F49" t="s">
        <v>568</v>
      </c>
      <c r="G49">
        <v>648</v>
      </c>
      <c r="H49" t="s">
        <v>7</v>
      </c>
    </row>
    <row r="50" spans="1:8" x14ac:dyDescent="0.3">
      <c r="A50">
        <v>1061</v>
      </c>
      <c r="B50" t="s">
        <v>3</v>
      </c>
      <c r="C50">
        <v>0</v>
      </c>
      <c r="D50">
        <v>242.94</v>
      </c>
      <c r="E50" s="8">
        <v>45752</v>
      </c>
      <c r="F50" s="8" t="s">
        <v>566</v>
      </c>
      <c r="G50">
        <v>201</v>
      </c>
      <c r="H50" t="s">
        <v>8</v>
      </c>
    </row>
    <row r="51" spans="1:8" x14ac:dyDescent="0.3">
      <c r="A51">
        <v>1062</v>
      </c>
      <c r="B51" t="s">
        <v>3</v>
      </c>
      <c r="C51">
        <v>0</v>
      </c>
      <c r="D51">
        <v>268.2</v>
      </c>
      <c r="E51" s="8">
        <v>45782</v>
      </c>
      <c r="F51" t="s">
        <v>568</v>
      </c>
      <c r="G51">
        <v>100</v>
      </c>
      <c r="H51" t="s">
        <v>9</v>
      </c>
    </row>
    <row r="52" spans="1:8" x14ac:dyDescent="0.3">
      <c r="A52">
        <v>1064</v>
      </c>
      <c r="B52" t="s">
        <v>2</v>
      </c>
      <c r="C52">
        <v>0</v>
      </c>
      <c r="D52">
        <v>286.5</v>
      </c>
      <c r="E52" s="8">
        <v>45765</v>
      </c>
      <c r="F52" s="8" t="s">
        <v>566</v>
      </c>
      <c r="G52">
        <v>670</v>
      </c>
      <c r="H52" t="s">
        <v>9</v>
      </c>
    </row>
    <row r="53" spans="1:8" x14ac:dyDescent="0.3">
      <c r="A53">
        <v>1066</v>
      </c>
      <c r="B53" t="s">
        <v>2</v>
      </c>
      <c r="C53">
        <v>0</v>
      </c>
      <c r="D53">
        <v>415.38</v>
      </c>
      <c r="E53" s="8">
        <v>45791</v>
      </c>
      <c r="F53" t="s">
        <v>568</v>
      </c>
      <c r="G53">
        <v>340</v>
      </c>
      <c r="H53" t="s">
        <v>9</v>
      </c>
    </row>
    <row r="54" spans="1:8" x14ac:dyDescent="0.3">
      <c r="A54">
        <v>1067</v>
      </c>
      <c r="B54" t="s">
        <v>3</v>
      </c>
      <c r="C54">
        <v>0</v>
      </c>
      <c r="D54">
        <v>200.77</v>
      </c>
      <c r="E54" s="8">
        <v>45807</v>
      </c>
      <c r="F54" t="s">
        <v>568</v>
      </c>
      <c r="G54">
        <v>176</v>
      </c>
      <c r="H54" t="s">
        <v>7</v>
      </c>
    </row>
    <row r="55" spans="1:8" x14ac:dyDescent="0.3">
      <c r="A55">
        <v>1068</v>
      </c>
      <c r="B55" t="s">
        <v>2</v>
      </c>
      <c r="C55">
        <v>0</v>
      </c>
      <c r="D55">
        <v>452.65</v>
      </c>
      <c r="E55" s="8">
        <v>45796</v>
      </c>
      <c r="F55" t="s">
        <v>568</v>
      </c>
      <c r="G55">
        <v>104</v>
      </c>
      <c r="H55" t="s">
        <v>10</v>
      </c>
    </row>
    <row r="56" spans="1:8" x14ac:dyDescent="0.3">
      <c r="A56">
        <v>1070</v>
      </c>
      <c r="B56" t="s">
        <v>3</v>
      </c>
      <c r="C56">
        <v>0</v>
      </c>
      <c r="D56">
        <v>246.2</v>
      </c>
      <c r="E56" s="8">
        <v>45777</v>
      </c>
      <c r="F56" s="8" t="s">
        <v>566</v>
      </c>
      <c r="G56">
        <v>244</v>
      </c>
      <c r="H56" t="s">
        <v>10</v>
      </c>
    </row>
    <row r="57" spans="1:8" x14ac:dyDescent="0.3">
      <c r="A57">
        <v>1071</v>
      </c>
      <c r="B57" t="s">
        <v>3</v>
      </c>
      <c r="C57">
        <v>0</v>
      </c>
      <c r="D57">
        <v>240.94</v>
      </c>
      <c r="E57" s="8">
        <v>45813</v>
      </c>
      <c r="F57" s="8" t="s">
        <v>567</v>
      </c>
      <c r="G57">
        <v>338</v>
      </c>
      <c r="H57" t="s">
        <v>11</v>
      </c>
    </row>
    <row r="58" spans="1:8" x14ac:dyDescent="0.3">
      <c r="A58">
        <v>1078</v>
      </c>
      <c r="B58" t="s">
        <v>2</v>
      </c>
      <c r="C58">
        <v>0</v>
      </c>
      <c r="D58">
        <v>332.1</v>
      </c>
      <c r="E58" s="8">
        <v>45824</v>
      </c>
      <c r="F58" s="8" t="s">
        <v>567</v>
      </c>
      <c r="G58">
        <v>521</v>
      </c>
      <c r="H58" t="s">
        <v>8</v>
      </c>
    </row>
    <row r="59" spans="1:8" x14ac:dyDescent="0.3">
      <c r="A59">
        <v>1079</v>
      </c>
      <c r="B59" t="s">
        <v>3</v>
      </c>
      <c r="C59">
        <v>0</v>
      </c>
      <c r="D59">
        <v>173.84</v>
      </c>
      <c r="E59" s="8">
        <v>45823</v>
      </c>
      <c r="F59" s="8" t="s">
        <v>567</v>
      </c>
      <c r="G59">
        <v>837</v>
      </c>
      <c r="H59" t="s">
        <v>7</v>
      </c>
    </row>
    <row r="60" spans="1:8" x14ac:dyDescent="0.3">
      <c r="A60">
        <v>108</v>
      </c>
      <c r="B60" t="s">
        <v>2</v>
      </c>
      <c r="C60">
        <v>0</v>
      </c>
      <c r="D60">
        <v>646.1</v>
      </c>
      <c r="E60" s="8">
        <v>45796</v>
      </c>
      <c r="F60" t="s">
        <v>568</v>
      </c>
      <c r="G60">
        <v>414</v>
      </c>
      <c r="H60" t="s">
        <v>7</v>
      </c>
    </row>
    <row r="61" spans="1:8" x14ac:dyDescent="0.3">
      <c r="A61">
        <v>1082</v>
      </c>
      <c r="B61" t="s">
        <v>3</v>
      </c>
      <c r="C61">
        <v>0</v>
      </c>
      <c r="D61">
        <v>298.60000000000002</v>
      </c>
      <c r="E61" s="8">
        <v>45812</v>
      </c>
      <c r="F61" s="8" t="s">
        <v>567</v>
      </c>
      <c r="G61">
        <v>774</v>
      </c>
      <c r="H61" t="s">
        <v>12</v>
      </c>
    </row>
    <row r="62" spans="1:8" x14ac:dyDescent="0.3">
      <c r="A62">
        <v>1083</v>
      </c>
      <c r="B62" t="s">
        <v>2</v>
      </c>
      <c r="C62">
        <v>0</v>
      </c>
      <c r="D62">
        <v>313.89</v>
      </c>
      <c r="E62" s="8">
        <v>45792</v>
      </c>
      <c r="F62" t="s">
        <v>568</v>
      </c>
      <c r="G62">
        <v>340</v>
      </c>
      <c r="H62" t="s">
        <v>9</v>
      </c>
    </row>
    <row r="63" spans="1:8" x14ac:dyDescent="0.3">
      <c r="A63">
        <v>1084</v>
      </c>
      <c r="B63" t="s">
        <v>2</v>
      </c>
      <c r="C63">
        <v>0</v>
      </c>
      <c r="D63">
        <v>495.83</v>
      </c>
      <c r="E63" s="8">
        <v>45775</v>
      </c>
      <c r="F63" s="8" t="s">
        <v>566</v>
      </c>
      <c r="G63">
        <v>477</v>
      </c>
      <c r="H63" t="s">
        <v>11</v>
      </c>
    </row>
    <row r="64" spans="1:8" x14ac:dyDescent="0.3">
      <c r="A64">
        <v>1085</v>
      </c>
      <c r="B64" t="s">
        <v>2</v>
      </c>
      <c r="C64">
        <v>0</v>
      </c>
      <c r="D64">
        <v>200.04</v>
      </c>
      <c r="E64" s="8">
        <v>45791</v>
      </c>
      <c r="F64" t="s">
        <v>568</v>
      </c>
      <c r="G64">
        <v>51</v>
      </c>
      <c r="H64" t="s">
        <v>7</v>
      </c>
    </row>
    <row r="65" spans="1:8" x14ac:dyDescent="0.3">
      <c r="A65">
        <v>1086</v>
      </c>
      <c r="B65" t="s">
        <v>2</v>
      </c>
      <c r="C65">
        <v>0</v>
      </c>
      <c r="D65">
        <v>224.18</v>
      </c>
      <c r="E65" s="8">
        <v>45764</v>
      </c>
      <c r="F65" s="8" t="s">
        <v>566</v>
      </c>
      <c r="G65">
        <v>561</v>
      </c>
      <c r="H65" t="s">
        <v>8</v>
      </c>
    </row>
    <row r="66" spans="1:8" x14ac:dyDescent="0.3">
      <c r="A66">
        <v>1087</v>
      </c>
      <c r="B66" t="s">
        <v>3</v>
      </c>
      <c r="C66">
        <v>0</v>
      </c>
      <c r="D66">
        <v>364.9</v>
      </c>
      <c r="E66" s="8">
        <v>45801</v>
      </c>
      <c r="F66" t="s">
        <v>568</v>
      </c>
      <c r="G66">
        <v>628</v>
      </c>
      <c r="H66" t="s">
        <v>8</v>
      </c>
    </row>
    <row r="67" spans="1:8" x14ac:dyDescent="0.3">
      <c r="A67">
        <v>1088</v>
      </c>
      <c r="B67" t="s">
        <v>3</v>
      </c>
      <c r="C67">
        <v>0</v>
      </c>
      <c r="D67">
        <v>340</v>
      </c>
      <c r="E67" s="8">
        <v>45760</v>
      </c>
      <c r="F67" s="8" t="s">
        <v>566</v>
      </c>
      <c r="G67">
        <v>385</v>
      </c>
      <c r="H67" t="s">
        <v>7</v>
      </c>
    </row>
    <row r="68" spans="1:8" x14ac:dyDescent="0.3">
      <c r="A68">
        <v>1093</v>
      </c>
      <c r="B68" t="s">
        <v>3</v>
      </c>
      <c r="C68">
        <v>0</v>
      </c>
      <c r="D68">
        <v>107.55</v>
      </c>
      <c r="E68" s="8">
        <v>45802</v>
      </c>
      <c r="F68" t="s">
        <v>568</v>
      </c>
      <c r="G68">
        <v>474</v>
      </c>
      <c r="H68" t="s">
        <v>8</v>
      </c>
    </row>
    <row r="69" spans="1:8" x14ac:dyDescent="0.3">
      <c r="A69">
        <v>1095</v>
      </c>
      <c r="B69" t="s">
        <v>2</v>
      </c>
      <c r="C69">
        <v>0</v>
      </c>
      <c r="D69">
        <v>261.45</v>
      </c>
      <c r="E69" s="8">
        <v>45824</v>
      </c>
      <c r="F69" s="8" t="s">
        <v>567</v>
      </c>
      <c r="G69">
        <v>109</v>
      </c>
      <c r="H69" t="s">
        <v>8</v>
      </c>
    </row>
    <row r="70" spans="1:8" x14ac:dyDescent="0.3">
      <c r="A70">
        <v>1096</v>
      </c>
      <c r="B70" t="s">
        <v>2</v>
      </c>
      <c r="C70">
        <v>0</v>
      </c>
      <c r="D70">
        <v>218.98</v>
      </c>
      <c r="E70" s="8">
        <v>45752</v>
      </c>
      <c r="F70" s="8" t="s">
        <v>566</v>
      </c>
      <c r="G70">
        <v>867</v>
      </c>
      <c r="H70" t="s">
        <v>8</v>
      </c>
    </row>
    <row r="71" spans="1:8" x14ac:dyDescent="0.3">
      <c r="A71">
        <v>1097</v>
      </c>
      <c r="B71" t="s">
        <v>3</v>
      </c>
      <c r="C71">
        <v>0</v>
      </c>
      <c r="D71">
        <v>228.41</v>
      </c>
      <c r="E71" s="8">
        <v>45823</v>
      </c>
      <c r="F71" s="8" t="s">
        <v>567</v>
      </c>
      <c r="G71">
        <v>271</v>
      </c>
      <c r="H71" t="s">
        <v>7</v>
      </c>
    </row>
    <row r="72" spans="1:8" x14ac:dyDescent="0.3">
      <c r="A72">
        <v>1098</v>
      </c>
      <c r="B72" t="s">
        <v>3</v>
      </c>
      <c r="C72">
        <v>0</v>
      </c>
      <c r="D72">
        <v>354.25</v>
      </c>
      <c r="E72" s="8">
        <v>45804</v>
      </c>
      <c r="F72" t="s">
        <v>568</v>
      </c>
      <c r="G72">
        <v>564</v>
      </c>
      <c r="H72" t="s">
        <v>9</v>
      </c>
    </row>
    <row r="73" spans="1:8" x14ac:dyDescent="0.3">
      <c r="A73">
        <v>1099</v>
      </c>
      <c r="B73" t="s">
        <v>2</v>
      </c>
      <c r="C73">
        <v>1</v>
      </c>
      <c r="D73">
        <v>230.63</v>
      </c>
      <c r="E73" s="8">
        <v>45783</v>
      </c>
      <c r="F73" t="s">
        <v>568</v>
      </c>
      <c r="G73">
        <v>81</v>
      </c>
      <c r="H73" t="s">
        <v>7</v>
      </c>
    </row>
    <row r="74" spans="1:8" x14ac:dyDescent="0.3">
      <c r="A74">
        <v>11</v>
      </c>
      <c r="B74" t="s">
        <v>3</v>
      </c>
      <c r="C74">
        <v>0</v>
      </c>
      <c r="D74">
        <v>327.88</v>
      </c>
      <c r="E74" s="8">
        <v>45797</v>
      </c>
      <c r="F74" t="s">
        <v>568</v>
      </c>
      <c r="G74">
        <v>187</v>
      </c>
      <c r="H74" t="s">
        <v>8</v>
      </c>
    </row>
    <row r="75" spans="1:8" x14ac:dyDescent="0.3">
      <c r="A75">
        <v>1100</v>
      </c>
      <c r="B75" t="s">
        <v>2</v>
      </c>
      <c r="C75">
        <v>0</v>
      </c>
      <c r="D75">
        <v>262.86</v>
      </c>
      <c r="E75" s="8">
        <v>45825</v>
      </c>
      <c r="F75" s="8" t="s">
        <v>567</v>
      </c>
      <c r="G75">
        <v>837</v>
      </c>
      <c r="H75" t="s">
        <v>7</v>
      </c>
    </row>
    <row r="76" spans="1:8" x14ac:dyDescent="0.3">
      <c r="A76">
        <v>1102</v>
      </c>
      <c r="B76" t="s">
        <v>3</v>
      </c>
      <c r="C76">
        <v>1</v>
      </c>
      <c r="D76">
        <v>214.7</v>
      </c>
      <c r="E76" s="8">
        <v>45791</v>
      </c>
      <c r="F76" t="s">
        <v>568</v>
      </c>
      <c r="G76">
        <v>624</v>
      </c>
      <c r="H76" t="s">
        <v>11</v>
      </c>
    </row>
    <row r="77" spans="1:8" x14ac:dyDescent="0.3">
      <c r="A77">
        <v>1103</v>
      </c>
      <c r="B77" t="s">
        <v>2</v>
      </c>
      <c r="C77">
        <v>0</v>
      </c>
      <c r="D77">
        <v>108.13</v>
      </c>
      <c r="E77" s="8">
        <v>45808</v>
      </c>
      <c r="F77" t="s">
        <v>568</v>
      </c>
      <c r="G77">
        <v>393</v>
      </c>
      <c r="H77" t="s">
        <v>8</v>
      </c>
    </row>
    <row r="78" spans="1:8" x14ac:dyDescent="0.3">
      <c r="A78">
        <v>1106</v>
      </c>
      <c r="B78" t="s">
        <v>2</v>
      </c>
      <c r="C78">
        <v>0</v>
      </c>
      <c r="D78">
        <v>219.78</v>
      </c>
      <c r="E78" s="8">
        <v>45813</v>
      </c>
      <c r="F78" s="8" t="s">
        <v>567</v>
      </c>
      <c r="G78">
        <v>35</v>
      </c>
      <c r="H78" t="s">
        <v>8</v>
      </c>
    </row>
    <row r="79" spans="1:8" x14ac:dyDescent="0.3">
      <c r="A79">
        <v>1108</v>
      </c>
      <c r="B79" t="s">
        <v>2</v>
      </c>
      <c r="C79">
        <v>0</v>
      </c>
      <c r="D79">
        <v>194.29</v>
      </c>
      <c r="E79" s="8">
        <v>45804</v>
      </c>
      <c r="F79" t="s">
        <v>568</v>
      </c>
      <c r="G79">
        <v>58</v>
      </c>
      <c r="H79" t="s">
        <v>7</v>
      </c>
    </row>
    <row r="80" spans="1:8" x14ac:dyDescent="0.3">
      <c r="A80">
        <v>1109</v>
      </c>
      <c r="B80" t="s">
        <v>2</v>
      </c>
      <c r="C80">
        <v>0</v>
      </c>
      <c r="D80">
        <v>78.69</v>
      </c>
      <c r="E80" s="8">
        <v>45804</v>
      </c>
      <c r="F80" t="s">
        <v>568</v>
      </c>
      <c r="G80">
        <v>359</v>
      </c>
      <c r="H80" t="s">
        <v>8</v>
      </c>
    </row>
    <row r="81" spans="1:8" x14ac:dyDescent="0.3">
      <c r="A81">
        <v>1110</v>
      </c>
      <c r="B81" t="s">
        <v>2</v>
      </c>
      <c r="C81">
        <v>1</v>
      </c>
      <c r="D81">
        <v>390.78</v>
      </c>
      <c r="E81" s="8">
        <v>45814</v>
      </c>
      <c r="F81" s="8" t="s">
        <v>567</v>
      </c>
      <c r="G81">
        <v>402</v>
      </c>
      <c r="H81" t="s">
        <v>9</v>
      </c>
    </row>
    <row r="82" spans="1:8" x14ac:dyDescent="0.3">
      <c r="A82">
        <v>1111</v>
      </c>
      <c r="B82" t="s">
        <v>3</v>
      </c>
      <c r="C82">
        <v>0</v>
      </c>
      <c r="D82">
        <v>204.48</v>
      </c>
      <c r="E82" s="8">
        <v>45765</v>
      </c>
      <c r="F82" s="8" t="s">
        <v>566</v>
      </c>
      <c r="G82">
        <v>687</v>
      </c>
      <c r="H82" t="s">
        <v>8</v>
      </c>
    </row>
    <row r="83" spans="1:8" x14ac:dyDescent="0.3">
      <c r="A83">
        <v>1112</v>
      </c>
      <c r="B83" t="s">
        <v>3</v>
      </c>
      <c r="C83">
        <v>0</v>
      </c>
      <c r="D83">
        <v>229.4</v>
      </c>
      <c r="E83" s="8">
        <v>45772</v>
      </c>
      <c r="F83" s="8" t="s">
        <v>566</v>
      </c>
      <c r="G83">
        <v>953</v>
      </c>
      <c r="H83" t="s">
        <v>8</v>
      </c>
    </row>
    <row r="84" spans="1:8" x14ac:dyDescent="0.3">
      <c r="A84">
        <v>1113</v>
      </c>
      <c r="B84" t="s">
        <v>3</v>
      </c>
      <c r="C84">
        <v>0</v>
      </c>
      <c r="D84">
        <v>304.05</v>
      </c>
      <c r="E84" s="8">
        <v>45766</v>
      </c>
      <c r="F84" s="8" t="s">
        <v>566</v>
      </c>
      <c r="G84">
        <v>958</v>
      </c>
      <c r="H84" t="s">
        <v>7</v>
      </c>
    </row>
    <row r="85" spans="1:8" x14ac:dyDescent="0.3">
      <c r="A85">
        <v>1115</v>
      </c>
      <c r="B85" t="s">
        <v>2</v>
      </c>
      <c r="C85">
        <v>0</v>
      </c>
      <c r="D85">
        <v>501.76</v>
      </c>
      <c r="E85" s="8">
        <v>45766</v>
      </c>
      <c r="F85" s="8" t="s">
        <v>566</v>
      </c>
      <c r="G85">
        <v>872</v>
      </c>
      <c r="H85" t="s">
        <v>10</v>
      </c>
    </row>
    <row r="86" spans="1:8" x14ac:dyDescent="0.3">
      <c r="A86">
        <v>1116</v>
      </c>
      <c r="B86" t="s">
        <v>2</v>
      </c>
      <c r="C86">
        <v>0</v>
      </c>
      <c r="D86">
        <v>318.58999999999997</v>
      </c>
      <c r="E86" s="8">
        <v>45798</v>
      </c>
      <c r="F86" t="s">
        <v>568</v>
      </c>
      <c r="G86">
        <v>640</v>
      </c>
      <c r="H86" t="s">
        <v>8</v>
      </c>
    </row>
    <row r="87" spans="1:8" x14ac:dyDescent="0.3">
      <c r="A87">
        <v>1117</v>
      </c>
      <c r="B87" t="s">
        <v>2</v>
      </c>
      <c r="C87">
        <v>0</v>
      </c>
      <c r="D87">
        <v>190.25</v>
      </c>
      <c r="E87" s="8">
        <v>45823</v>
      </c>
      <c r="F87" s="8" t="s">
        <v>567</v>
      </c>
      <c r="G87">
        <v>660</v>
      </c>
      <c r="H87" t="s">
        <v>9</v>
      </c>
    </row>
    <row r="88" spans="1:8" x14ac:dyDescent="0.3">
      <c r="A88">
        <v>1119</v>
      </c>
      <c r="B88" t="s">
        <v>2</v>
      </c>
      <c r="C88">
        <v>0</v>
      </c>
      <c r="D88">
        <v>147.22</v>
      </c>
      <c r="E88" s="8">
        <v>45796</v>
      </c>
      <c r="F88" t="s">
        <v>568</v>
      </c>
      <c r="G88">
        <v>976</v>
      </c>
      <c r="H88" t="s">
        <v>9</v>
      </c>
    </row>
    <row r="89" spans="1:8" x14ac:dyDescent="0.3">
      <c r="A89">
        <v>112</v>
      </c>
      <c r="B89" t="s">
        <v>2</v>
      </c>
      <c r="C89">
        <v>1</v>
      </c>
      <c r="D89">
        <v>445.72</v>
      </c>
      <c r="E89" s="8">
        <v>45814</v>
      </c>
      <c r="F89" s="8" t="s">
        <v>567</v>
      </c>
      <c r="G89">
        <v>876</v>
      </c>
      <c r="H89" t="s">
        <v>9</v>
      </c>
    </row>
    <row r="90" spans="1:8" x14ac:dyDescent="0.3">
      <c r="A90">
        <v>1122</v>
      </c>
      <c r="B90" t="s">
        <v>2</v>
      </c>
      <c r="C90">
        <v>0</v>
      </c>
      <c r="D90">
        <v>412.92</v>
      </c>
      <c r="E90" s="8">
        <v>45824</v>
      </c>
      <c r="F90" s="8" t="s">
        <v>567</v>
      </c>
      <c r="G90">
        <v>609</v>
      </c>
      <c r="H90" t="s">
        <v>9</v>
      </c>
    </row>
    <row r="91" spans="1:8" x14ac:dyDescent="0.3">
      <c r="A91">
        <v>1123</v>
      </c>
      <c r="B91" t="s">
        <v>2</v>
      </c>
      <c r="C91">
        <v>0</v>
      </c>
      <c r="D91">
        <v>342.14</v>
      </c>
      <c r="E91" s="8">
        <v>45804</v>
      </c>
      <c r="F91" t="s">
        <v>568</v>
      </c>
      <c r="G91">
        <v>18</v>
      </c>
      <c r="H91" t="s">
        <v>8</v>
      </c>
    </row>
    <row r="92" spans="1:8" x14ac:dyDescent="0.3">
      <c r="A92">
        <v>1124</v>
      </c>
      <c r="B92" t="s">
        <v>2</v>
      </c>
      <c r="C92">
        <v>0</v>
      </c>
      <c r="D92">
        <v>162.22999999999999</v>
      </c>
      <c r="E92" s="8">
        <v>45776</v>
      </c>
      <c r="F92" s="8" t="s">
        <v>566</v>
      </c>
      <c r="G92">
        <v>314</v>
      </c>
      <c r="H92" t="s">
        <v>7</v>
      </c>
    </row>
    <row r="93" spans="1:8" x14ac:dyDescent="0.3">
      <c r="A93">
        <v>1127</v>
      </c>
      <c r="B93" t="s">
        <v>2</v>
      </c>
      <c r="C93">
        <v>0</v>
      </c>
      <c r="D93">
        <v>281.04000000000002</v>
      </c>
      <c r="E93" s="8">
        <v>45790</v>
      </c>
      <c r="F93" t="s">
        <v>568</v>
      </c>
      <c r="G93">
        <v>144</v>
      </c>
      <c r="H93" t="s">
        <v>7</v>
      </c>
    </row>
    <row r="94" spans="1:8" x14ac:dyDescent="0.3">
      <c r="A94">
        <v>1128</v>
      </c>
      <c r="B94" t="s">
        <v>3</v>
      </c>
      <c r="C94">
        <v>0</v>
      </c>
      <c r="D94">
        <v>96.84</v>
      </c>
      <c r="E94" s="8">
        <v>45808</v>
      </c>
      <c r="F94" t="s">
        <v>568</v>
      </c>
      <c r="G94">
        <v>759</v>
      </c>
      <c r="H94" t="s">
        <v>8</v>
      </c>
    </row>
    <row r="95" spans="1:8" x14ac:dyDescent="0.3">
      <c r="A95">
        <v>1129</v>
      </c>
      <c r="B95" t="s">
        <v>3</v>
      </c>
      <c r="C95">
        <v>0</v>
      </c>
      <c r="D95">
        <v>125.14</v>
      </c>
      <c r="E95" s="8">
        <v>45798</v>
      </c>
      <c r="F95" t="s">
        <v>568</v>
      </c>
      <c r="G95">
        <v>892</v>
      </c>
      <c r="H95" t="s">
        <v>7</v>
      </c>
    </row>
    <row r="96" spans="1:8" x14ac:dyDescent="0.3">
      <c r="A96">
        <v>113</v>
      </c>
      <c r="B96" t="s">
        <v>3</v>
      </c>
      <c r="C96">
        <v>0</v>
      </c>
      <c r="D96">
        <v>448.08</v>
      </c>
      <c r="E96" s="8">
        <v>45802</v>
      </c>
      <c r="F96" t="s">
        <v>568</v>
      </c>
      <c r="G96">
        <v>872</v>
      </c>
      <c r="H96" t="s">
        <v>10</v>
      </c>
    </row>
    <row r="97" spans="1:8" x14ac:dyDescent="0.3">
      <c r="A97">
        <v>1130</v>
      </c>
      <c r="B97" t="s">
        <v>2</v>
      </c>
      <c r="C97">
        <v>0</v>
      </c>
      <c r="D97">
        <v>579.95000000000005</v>
      </c>
      <c r="E97" s="8">
        <v>45803</v>
      </c>
      <c r="F97" t="s">
        <v>568</v>
      </c>
      <c r="G97">
        <v>385</v>
      </c>
      <c r="H97" t="s">
        <v>7</v>
      </c>
    </row>
    <row r="98" spans="1:8" x14ac:dyDescent="0.3">
      <c r="A98">
        <v>1132</v>
      </c>
      <c r="B98" t="s">
        <v>3</v>
      </c>
      <c r="C98">
        <v>0</v>
      </c>
      <c r="D98">
        <v>267.61</v>
      </c>
      <c r="E98" s="8">
        <v>45797</v>
      </c>
      <c r="F98" t="s">
        <v>568</v>
      </c>
      <c r="G98">
        <v>231</v>
      </c>
      <c r="H98" t="s">
        <v>8</v>
      </c>
    </row>
    <row r="99" spans="1:8" x14ac:dyDescent="0.3">
      <c r="A99">
        <v>1133</v>
      </c>
      <c r="B99" t="s">
        <v>2</v>
      </c>
      <c r="C99">
        <v>0</v>
      </c>
      <c r="D99">
        <v>210.9</v>
      </c>
      <c r="E99" s="8">
        <v>45772</v>
      </c>
      <c r="F99" s="8" t="s">
        <v>566</v>
      </c>
      <c r="G99">
        <v>745</v>
      </c>
      <c r="H99" t="s">
        <v>9</v>
      </c>
    </row>
    <row r="100" spans="1:8" x14ac:dyDescent="0.3">
      <c r="A100">
        <v>1134</v>
      </c>
      <c r="B100" t="s">
        <v>3</v>
      </c>
      <c r="C100">
        <v>0</v>
      </c>
      <c r="D100">
        <v>324.16000000000003</v>
      </c>
      <c r="E100" s="8">
        <v>45805</v>
      </c>
      <c r="F100" t="s">
        <v>568</v>
      </c>
      <c r="G100">
        <v>580</v>
      </c>
      <c r="H100" t="s">
        <v>9</v>
      </c>
    </row>
    <row r="101" spans="1:8" x14ac:dyDescent="0.3">
      <c r="A101">
        <v>1135</v>
      </c>
      <c r="B101" t="s">
        <v>3</v>
      </c>
      <c r="C101">
        <v>0</v>
      </c>
      <c r="D101">
        <v>202.84</v>
      </c>
      <c r="E101" s="8">
        <v>45797</v>
      </c>
      <c r="F101" t="s">
        <v>568</v>
      </c>
      <c r="G101">
        <v>946</v>
      </c>
      <c r="H101" t="s">
        <v>8</v>
      </c>
    </row>
    <row r="102" spans="1:8" x14ac:dyDescent="0.3">
      <c r="A102">
        <v>1136</v>
      </c>
      <c r="B102" t="s">
        <v>3</v>
      </c>
      <c r="C102">
        <v>0</v>
      </c>
      <c r="D102">
        <v>111.97</v>
      </c>
      <c r="E102" s="8">
        <v>45822</v>
      </c>
      <c r="F102" s="8" t="s">
        <v>567</v>
      </c>
      <c r="G102">
        <v>460</v>
      </c>
      <c r="H102" t="s">
        <v>10</v>
      </c>
    </row>
    <row r="103" spans="1:8" x14ac:dyDescent="0.3">
      <c r="A103">
        <v>1137</v>
      </c>
      <c r="B103" t="s">
        <v>2</v>
      </c>
      <c r="C103">
        <v>0</v>
      </c>
      <c r="D103">
        <v>380.37</v>
      </c>
      <c r="E103" s="8">
        <v>45794</v>
      </c>
      <c r="F103" t="s">
        <v>568</v>
      </c>
      <c r="G103">
        <v>505</v>
      </c>
      <c r="H103" t="s">
        <v>7</v>
      </c>
    </row>
    <row r="104" spans="1:8" x14ac:dyDescent="0.3">
      <c r="A104">
        <v>1138</v>
      </c>
      <c r="B104" t="s">
        <v>2</v>
      </c>
      <c r="C104">
        <v>0</v>
      </c>
      <c r="D104">
        <v>375.32</v>
      </c>
      <c r="E104" s="8">
        <v>45774</v>
      </c>
      <c r="F104" s="8" t="s">
        <v>566</v>
      </c>
      <c r="G104">
        <v>958</v>
      </c>
      <c r="H104" t="s">
        <v>7</v>
      </c>
    </row>
    <row r="105" spans="1:8" x14ac:dyDescent="0.3">
      <c r="A105">
        <v>1139</v>
      </c>
      <c r="B105" t="s">
        <v>3</v>
      </c>
      <c r="C105">
        <v>0</v>
      </c>
      <c r="D105">
        <v>422.16</v>
      </c>
      <c r="E105" s="8">
        <v>45763</v>
      </c>
      <c r="F105" s="8" t="s">
        <v>566</v>
      </c>
      <c r="G105">
        <v>21</v>
      </c>
      <c r="H105" t="s">
        <v>8</v>
      </c>
    </row>
    <row r="106" spans="1:8" x14ac:dyDescent="0.3">
      <c r="A106">
        <v>114</v>
      </c>
      <c r="B106" t="s">
        <v>3</v>
      </c>
      <c r="C106">
        <v>0</v>
      </c>
      <c r="D106">
        <v>280.43</v>
      </c>
      <c r="E106" s="8">
        <v>45772</v>
      </c>
      <c r="F106" s="8" t="s">
        <v>566</v>
      </c>
      <c r="G106">
        <v>903</v>
      </c>
      <c r="H106" t="s">
        <v>11</v>
      </c>
    </row>
    <row r="107" spans="1:8" x14ac:dyDescent="0.3">
      <c r="A107">
        <v>1143</v>
      </c>
      <c r="B107" t="s">
        <v>2</v>
      </c>
      <c r="C107">
        <v>1</v>
      </c>
      <c r="D107">
        <v>155.13</v>
      </c>
      <c r="E107" s="8">
        <v>45753</v>
      </c>
      <c r="F107" s="8" t="s">
        <v>566</v>
      </c>
      <c r="G107">
        <v>472</v>
      </c>
      <c r="H107" t="s">
        <v>8</v>
      </c>
    </row>
    <row r="108" spans="1:8" x14ac:dyDescent="0.3">
      <c r="A108">
        <v>1144</v>
      </c>
      <c r="B108" t="s">
        <v>2</v>
      </c>
      <c r="C108">
        <v>0</v>
      </c>
      <c r="D108">
        <v>141.99</v>
      </c>
      <c r="E108" s="8">
        <v>45797</v>
      </c>
      <c r="F108" t="s">
        <v>568</v>
      </c>
      <c r="G108">
        <v>700</v>
      </c>
      <c r="H108" t="s">
        <v>12</v>
      </c>
    </row>
    <row r="109" spans="1:8" x14ac:dyDescent="0.3">
      <c r="A109">
        <v>1146</v>
      </c>
      <c r="B109" t="s">
        <v>2</v>
      </c>
      <c r="C109">
        <v>0</v>
      </c>
      <c r="D109">
        <v>326.72000000000003</v>
      </c>
      <c r="E109" s="8">
        <v>45801</v>
      </c>
      <c r="F109" t="s">
        <v>568</v>
      </c>
      <c r="G109">
        <v>15</v>
      </c>
      <c r="H109" t="s">
        <v>10</v>
      </c>
    </row>
    <row r="110" spans="1:8" x14ac:dyDescent="0.3">
      <c r="A110">
        <v>1148</v>
      </c>
      <c r="B110" t="s">
        <v>3</v>
      </c>
      <c r="C110">
        <v>1</v>
      </c>
      <c r="D110">
        <v>448.98</v>
      </c>
      <c r="E110" s="8">
        <v>45790</v>
      </c>
      <c r="F110" t="s">
        <v>568</v>
      </c>
      <c r="G110">
        <v>562</v>
      </c>
      <c r="H110" t="s">
        <v>7</v>
      </c>
    </row>
    <row r="111" spans="1:8" x14ac:dyDescent="0.3">
      <c r="A111">
        <v>1149</v>
      </c>
      <c r="B111" t="s">
        <v>2</v>
      </c>
      <c r="C111">
        <v>0</v>
      </c>
      <c r="D111">
        <v>441.5</v>
      </c>
      <c r="E111" s="8">
        <v>45807</v>
      </c>
      <c r="F111" t="s">
        <v>568</v>
      </c>
      <c r="G111">
        <v>948</v>
      </c>
      <c r="H111" t="s">
        <v>11</v>
      </c>
    </row>
    <row r="112" spans="1:8" x14ac:dyDescent="0.3">
      <c r="A112">
        <v>115</v>
      </c>
      <c r="B112" t="s">
        <v>3</v>
      </c>
      <c r="C112">
        <v>0</v>
      </c>
      <c r="D112">
        <v>169.37</v>
      </c>
      <c r="E112" s="8">
        <v>45781</v>
      </c>
      <c r="F112" t="s">
        <v>568</v>
      </c>
      <c r="G112">
        <v>879</v>
      </c>
      <c r="H112" t="s">
        <v>10</v>
      </c>
    </row>
    <row r="113" spans="1:8" x14ac:dyDescent="0.3">
      <c r="A113">
        <v>1150</v>
      </c>
      <c r="B113" t="s">
        <v>3</v>
      </c>
      <c r="C113">
        <v>0</v>
      </c>
      <c r="D113">
        <v>607.24</v>
      </c>
      <c r="E113" s="8">
        <v>45813</v>
      </c>
      <c r="F113" s="8" t="s">
        <v>567</v>
      </c>
      <c r="G113">
        <v>220</v>
      </c>
      <c r="H113" t="s">
        <v>7</v>
      </c>
    </row>
    <row r="114" spans="1:8" x14ac:dyDescent="0.3">
      <c r="A114">
        <v>1152</v>
      </c>
      <c r="B114" t="s">
        <v>2</v>
      </c>
      <c r="C114">
        <v>0</v>
      </c>
      <c r="D114">
        <v>375.47</v>
      </c>
      <c r="E114" s="8">
        <v>45769</v>
      </c>
      <c r="F114" s="8" t="s">
        <v>566</v>
      </c>
      <c r="G114">
        <v>157</v>
      </c>
      <c r="H114" t="s">
        <v>9</v>
      </c>
    </row>
    <row r="115" spans="1:8" x14ac:dyDescent="0.3">
      <c r="A115">
        <v>1153</v>
      </c>
      <c r="B115" t="s">
        <v>3</v>
      </c>
      <c r="C115">
        <v>1</v>
      </c>
      <c r="D115">
        <v>149.91</v>
      </c>
      <c r="E115" s="8">
        <v>45794</v>
      </c>
      <c r="F115" t="s">
        <v>568</v>
      </c>
      <c r="G115">
        <v>177</v>
      </c>
      <c r="H115" t="s">
        <v>9</v>
      </c>
    </row>
    <row r="116" spans="1:8" x14ac:dyDescent="0.3">
      <c r="A116">
        <v>1154</v>
      </c>
      <c r="B116" t="s">
        <v>2</v>
      </c>
      <c r="C116">
        <v>0</v>
      </c>
      <c r="D116">
        <v>323.44</v>
      </c>
      <c r="E116" s="8">
        <v>45782</v>
      </c>
      <c r="F116" t="s">
        <v>568</v>
      </c>
      <c r="G116">
        <v>314</v>
      </c>
      <c r="H116" t="s">
        <v>7</v>
      </c>
    </row>
    <row r="117" spans="1:8" x14ac:dyDescent="0.3">
      <c r="A117">
        <v>1155</v>
      </c>
      <c r="B117" t="s">
        <v>2</v>
      </c>
      <c r="C117">
        <v>0</v>
      </c>
      <c r="D117">
        <v>414.54</v>
      </c>
      <c r="E117" s="8">
        <v>45800</v>
      </c>
      <c r="F117" t="s">
        <v>568</v>
      </c>
      <c r="G117">
        <v>843</v>
      </c>
      <c r="H117" t="s">
        <v>8</v>
      </c>
    </row>
    <row r="118" spans="1:8" x14ac:dyDescent="0.3">
      <c r="A118">
        <v>1156</v>
      </c>
      <c r="B118" t="s">
        <v>3</v>
      </c>
      <c r="C118">
        <v>0</v>
      </c>
      <c r="D118">
        <v>434.04</v>
      </c>
      <c r="E118" s="8">
        <v>45798</v>
      </c>
      <c r="F118" t="s">
        <v>568</v>
      </c>
      <c r="G118">
        <v>963</v>
      </c>
      <c r="H118" t="s">
        <v>7</v>
      </c>
    </row>
    <row r="119" spans="1:8" x14ac:dyDescent="0.3">
      <c r="A119">
        <v>1158</v>
      </c>
      <c r="B119" t="s">
        <v>2</v>
      </c>
      <c r="C119">
        <v>0</v>
      </c>
      <c r="D119">
        <v>232.32</v>
      </c>
      <c r="E119" s="8">
        <v>45776</v>
      </c>
      <c r="F119" s="8" t="s">
        <v>566</v>
      </c>
      <c r="G119">
        <v>764</v>
      </c>
      <c r="H119" t="s">
        <v>8</v>
      </c>
    </row>
    <row r="120" spans="1:8" x14ac:dyDescent="0.3">
      <c r="A120">
        <v>116</v>
      </c>
      <c r="B120" t="s">
        <v>3</v>
      </c>
      <c r="C120">
        <v>0</v>
      </c>
      <c r="D120">
        <v>195.35</v>
      </c>
      <c r="E120" s="8">
        <v>45752</v>
      </c>
      <c r="F120" s="8" t="s">
        <v>566</v>
      </c>
      <c r="G120">
        <v>706</v>
      </c>
      <c r="H120" t="s">
        <v>8</v>
      </c>
    </row>
    <row r="121" spans="1:8" x14ac:dyDescent="0.3">
      <c r="A121">
        <v>1160</v>
      </c>
      <c r="B121" t="s">
        <v>2</v>
      </c>
      <c r="C121">
        <v>0</v>
      </c>
      <c r="D121">
        <v>326.35000000000002</v>
      </c>
      <c r="E121" s="8">
        <v>45766</v>
      </c>
      <c r="F121" s="8" t="s">
        <v>566</v>
      </c>
      <c r="G121">
        <v>264</v>
      </c>
      <c r="H121" t="s">
        <v>10</v>
      </c>
    </row>
    <row r="122" spans="1:8" x14ac:dyDescent="0.3">
      <c r="A122">
        <v>1161</v>
      </c>
      <c r="B122" t="s">
        <v>3</v>
      </c>
      <c r="C122">
        <v>0</v>
      </c>
      <c r="D122">
        <v>282.2</v>
      </c>
      <c r="E122" s="8">
        <v>45773</v>
      </c>
      <c r="F122" s="8" t="s">
        <v>566</v>
      </c>
      <c r="G122">
        <v>152</v>
      </c>
      <c r="H122" t="s">
        <v>8</v>
      </c>
    </row>
    <row r="123" spans="1:8" x14ac:dyDescent="0.3">
      <c r="A123">
        <v>1162</v>
      </c>
      <c r="B123" t="s">
        <v>3</v>
      </c>
      <c r="C123">
        <v>0</v>
      </c>
      <c r="D123">
        <v>490.12</v>
      </c>
      <c r="E123" s="8">
        <v>45781</v>
      </c>
      <c r="F123" t="s">
        <v>568</v>
      </c>
      <c r="G123">
        <v>830</v>
      </c>
      <c r="H123" t="s">
        <v>9</v>
      </c>
    </row>
    <row r="124" spans="1:8" x14ac:dyDescent="0.3">
      <c r="A124">
        <v>1165</v>
      </c>
      <c r="B124" t="s">
        <v>2</v>
      </c>
      <c r="C124">
        <v>0</v>
      </c>
      <c r="D124">
        <v>154.08000000000001</v>
      </c>
      <c r="E124" s="8">
        <v>45769</v>
      </c>
      <c r="F124" s="8" t="s">
        <v>566</v>
      </c>
      <c r="G124">
        <v>664</v>
      </c>
      <c r="H124" t="s">
        <v>8</v>
      </c>
    </row>
    <row r="125" spans="1:8" x14ac:dyDescent="0.3">
      <c r="A125">
        <v>1166</v>
      </c>
      <c r="B125" t="s">
        <v>2</v>
      </c>
      <c r="C125">
        <v>0</v>
      </c>
      <c r="D125">
        <v>284.19</v>
      </c>
      <c r="E125" s="8">
        <v>45794</v>
      </c>
      <c r="F125" t="s">
        <v>568</v>
      </c>
      <c r="G125">
        <v>243</v>
      </c>
      <c r="H125" t="s">
        <v>7</v>
      </c>
    </row>
    <row r="126" spans="1:8" x14ac:dyDescent="0.3">
      <c r="A126">
        <v>1168</v>
      </c>
      <c r="B126" t="s">
        <v>2</v>
      </c>
      <c r="C126">
        <v>0</v>
      </c>
      <c r="D126">
        <v>296.37</v>
      </c>
      <c r="E126" s="8">
        <v>45821</v>
      </c>
      <c r="F126" s="8" t="s">
        <v>567</v>
      </c>
      <c r="G126">
        <v>492</v>
      </c>
      <c r="H126" t="s">
        <v>7</v>
      </c>
    </row>
    <row r="127" spans="1:8" x14ac:dyDescent="0.3">
      <c r="A127">
        <v>1169</v>
      </c>
      <c r="B127" t="s">
        <v>2</v>
      </c>
      <c r="C127">
        <v>0</v>
      </c>
      <c r="D127">
        <v>122.99</v>
      </c>
      <c r="E127" s="8">
        <v>45793</v>
      </c>
      <c r="F127" t="s">
        <v>568</v>
      </c>
      <c r="G127">
        <v>490</v>
      </c>
      <c r="H127" t="s">
        <v>7</v>
      </c>
    </row>
    <row r="128" spans="1:8" x14ac:dyDescent="0.3">
      <c r="A128">
        <v>1170</v>
      </c>
      <c r="B128" t="s">
        <v>3</v>
      </c>
      <c r="C128">
        <v>0</v>
      </c>
      <c r="D128">
        <v>214.32</v>
      </c>
      <c r="E128" s="8">
        <v>45812</v>
      </c>
      <c r="F128" s="8" t="s">
        <v>567</v>
      </c>
      <c r="G128">
        <v>547</v>
      </c>
      <c r="H128" t="s">
        <v>8</v>
      </c>
    </row>
    <row r="129" spans="1:8" x14ac:dyDescent="0.3">
      <c r="A129">
        <v>1172</v>
      </c>
      <c r="B129" t="s">
        <v>2</v>
      </c>
      <c r="C129">
        <v>0</v>
      </c>
      <c r="D129">
        <v>387.04</v>
      </c>
      <c r="E129" s="8">
        <v>45808</v>
      </c>
      <c r="F129" t="s">
        <v>568</v>
      </c>
      <c r="G129">
        <v>63</v>
      </c>
      <c r="H129" t="s">
        <v>10</v>
      </c>
    </row>
    <row r="130" spans="1:8" x14ac:dyDescent="0.3">
      <c r="A130">
        <v>1173</v>
      </c>
      <c r="B130" t="s">
        <v>3</v>
      </c>
      <c r="C130">
        <v>1</v>
      </c>
      <c r="D130">
        <v>216.76</v>
      </c>
      <c r="E130" s="8">
        <v>45793</v>
      </c>
      <c r="F130" t="s">
        <v>568</v>
      </c>
      <c r="G130">
        <v>689</v>
      </c>
      <c r="H130" t="s">
        <v>11</v>
      </c>
    </row>
    <row r="131" spans="1:8" x14ac:dyDescent="0.3">
      <c r="A131">
        <v>1175</v>
      </c>
      <c r="B131" t="s">
        <v>2</v>
      </c>
      <c r="C131">
        <v>0</v>
      </c>
      <c r="D131">
        <v>71.92</v>
      </c>
      <c r="E131" s="8">
        <v>45782</v>
      </c>
      <c r="F131" t="s">
        <v>568</v>
      </c>
      <c r="G131">
        <v>664</v>
      </c>
      <c r="H131" t="s">
        <v>8</v>
      </c>
    </row>
    <row r="132" spans="1:8" x14ac:dyDescent="0.3">
      <c r="A132">
        <v>1177</v>
      </c>
      <c r="B132" t="s">
        <v>2</v>
      </c>
      <c r="C132">
        <v>0</v>
      </c>
      <c r="D132">
        <v>405.31</v>
      </c>
      <c r="E132" s="8">
        <v>45774</v>
      </c>
      <c r="F132" s="8" t="s">
        <v>566</v>
      </c>
      <c r="G132">
        <v>960</v>
      </c>
      <c r="H132" t="s">
        <v>7</v>
      </c>
    </row>
    <row r="133" spans="1:8" x14ac:dyDescent="0.3">
      <c r="A133">
        <v>1178</v>
      </c>
      <c r="B133" t="s">
        <v>3</v>
      </c>
      <c r="C133">
        <v>0</v>
      </c>
      <c r="D133">
        <v>286.19</v>
      </c>
      <c r="E133" s="8">
        <v>45762</v>
      </c>
      <c r="F133" s="8" t="s">
        <v>566</v>
      </c>
      <c r="G133">
        <v>274</v>
      </c>
      <c r="H133" t="s">
        <v>7</v>
      </c>
    </row>
    <row r="134" spans="1:8" x14ac:dyDescent="0.3">
      <c r="A134">
        <v>1179</v>
      </c>
      <c r="B134" t="s">
        <v>2</v>
      </c>
      <c r="C134">
        <v>0</v>
      </c>
      <c r="D134">
        <v>250.58</v>
      </c>
      <c r="E134" s="8">
        <v>45776</v>
      </c>
      <c r="F134" s="8" t="s">
        <v>566</v>
      </c>
      <c r="G134">
        <v>462</v>
      </c>
      <c r="H134" t="s">
        <v>9</v>
      </c>
    </row>
    <row r="135" spans="1:8" x14ac:dyDescent="0.3">
      <c r="A135">
        <v>118</v>
      </c>
      <c r="B135" t="s">
        <v>2</v>
      </c>
      <c r="C135">
        <v>0</v>
      </c>
      <c r="D135">
        <v>788.58</v>
      </c>
      <c r="E135" s="8">
        <v>45795</v>
      </c>
      <c r="F135" t="s">
        <v>568</v>
      </c>
      <c r="G135">
        <v>92</v>
      </c>
      <c r="H135" t="s">
        <v>9</v>
      </c>
    </row>
    <row r="136" spans="1:8" x14ac:dyDescent="0.3">
      <c r="A136">
        <v>1180</v>
      </c>
      <c r="B136" t="s">
        <v>2</v>
      </c>
      <c r="C136">
        <v>0</v>
      </c>
      <c r="D136">
        <v>273.14</v>
      </c>
      <c r="E136" s="8">
        <v>45803</v>
      </c>
      <c r="F136" t="s">
        <v>568</v>
      </c>
      <c r="G136">
        <v>777</v>
      </c>
      <c r="H136" t="s">
        <v>11</v>
      </c>
    </row>
    <row r="137" spans="1:8" x14ac:dyDescent="0.3">
      <c r="A137">
        <v>1182</v>
      </c>
      <c r="B137" t="s">
        <v>2</v>
      </c>
      <c r="C137">
        <v>0</v>
      </c>
      <c r="D137">
        <v>189.9</v>
      </c>
      <c r="E137" s="8">
        <v>45824</v>
      </c>
      <c r="F137" s="8" t="s">
        <v>567</v>
      </c>
      <c r="G137">
        <v>936</v>
      </c>
      <c r="H137" t="s">
        <v>10</v>
      </c>
    </row>
    <row r="138" spans="1:8" x14ac:dyDescent="0.3">
      <c r="A138">
        <v>1183</v>
      </c>
      <c r="B138" t="s">
        <v>3</v>
      </c>
      <c r="C138">
        <v>0</v>
      </c>
      <c r="D138">
        <v>464.44</v>
      </c>
      <c r="E138" s="8">
        <v>45765</v>
      </c>
      <c r="F138" s="8" t="s">
        <v>566</v>
      </c>
      <c r="G138">
        <v>792</v>
      </c>
      <c r="H138" t="s">
        <v>9</v>
      </c>
    </row>
    <row r="139" spans="1:8" x14ac:dyDescent="0.3">
      <c r="A139">
        <v>1184</v>
      </c>
      <c r="B139" t="s">
        <v>3</v>
      </c>
      <c r="C139">
        <v>0</v>
      </c>
      <c r="D139">
        <v>126.28</v>
      </c>
      <c r="E139" s="8">
        <v>45772</v>
      </c>
      <c r="F139" s="8" t="s">
        <v>566</v>
      </c>
      <c r="G139">
        <v>752</v>
      </c>
      <c r="H139" t="s">
        <v>9</v>
      </c>
    </row>
    <row r="140" spans="1:8" x14ac:dyDescent="0.3">
      <c r="A140">
        <v>1185</v>
      </c>
      <c r="B140" t="s">
        <v>2</v>
      </c>
      <c r="C140">
        <v>0</v>
      </c>
      <c r="D140">
        <v>207.36</v>
      </c>
      <c r="E140" s="8">
        <v>45782</v>
      </c>
      <c r="F140" t="s">
        <v>568</v>
      </c>
      <c r="G140">
        <v>15</v>
      </c>
      <c r="H140" t="s">
        <v>10</v>
      </c>
    </row>
    <row r="141" spans="1:8" x14ac:dyDescent="0.3">
      <c r="A141">
        <v>1186</v>
      </c>
      <c r="B141" t="s">
        <v>2</v>
      </c>
      <c r="C141">
        <v>0</v>
      </c>
      <c r="D141">
        <v>521.99</v>
      </c>
      <c r="E141" s="8">
        <v>45764</v>
      </c>
      <c r="F141" s="8" t="s">
        <v>566</v>
      </c>
      <c r="G141">
        <v>749</v>
      </c>
      <c r="H141" t="s">
        <v>11</v>
      </c>
    </row>
    <row r="142" spans="1:8" x14ac:dyDescent="0.3">
      <c r="A142">
        <v>1187</v>
      </c>
      <c r="B142" t="s">
        <v>2</v>
      </c>
      <c r="C142">
        <v>0</v>
      </c>
      <c r="D142">
        <v>161.41999999999999</v>
      </c>
      <c r="E142" s="8">
        <v>45761</v>
      </c>
      <c r="F142" s="8" t="s">
        <v>566</v>
      </c>
      <c r="G142">
        <v>365</v>
      </c>
      <c r="H142" t="s">
        <v>8</v>
      </c>
    </row>
    <row r="143" spans="1:8" x14ac:dyDescent="0.3">
      <c r="A143">
        <v>1189</v>
      </c>
      <c r="B143" t="s">
        <v>2</v>
      </c>
      <c r="C143">
        <v>0</v>
      </c>
      <c r="D143">
        <v>443.88</v>
      </c>
      <c r="E143" s="8">
        <v>45771</v>
      </c>
      <c r="F143" s="8" t="s">
        <v>566</v>
      </c>
      <c r="G143">
        <v>131</v>
      </c>
      <c r="H143" t="s">
        <v>7</v>
      </c>
    </row>
    <row r="144" spans="1:8" x14ac:dyDescent="0.3">
      <c r="A144">
        <v>1192</v>
      </c>
      <c r="B144" t="s">
        <v>3</v>
      </c>
      <c r="C144">
        <v>0</v>
      </c>
      <c r="D144">
        <v>302.23</v>
      </c>
      <c r="E144" s="8">
        <v>45799</v>
      </c>
      <c r="F144" t="s">
        <v>568</v>
      </c>
      <c r="G144">
        <v>702</v>
      </c>
      <c r="H144" t="s">
        <v>12</v>
      </c>
    </row>
    <row r="145" spans="1:8" x14ac:dyDescent="0.3">
      <c r="A145">
        <v>1193</v>
      </c>
      <c r="B145" t="s">
        <v>2</v>
      </c>
      <c r="C145">
        <v>0</v>
      </c>
      <c r="D145">
        <v>388.54</v>
      </c>
      <c r="E145" s="8">
        <v>45762</v>
      </c>
      <c r="F145" s="8" t="s">
        <v>566</v>
      </c>
      <c r="G145">
        <v>864</v>
      </c>
      <c r="H145" t="s">
        <v>10</v>
      </c>
    </row>
    <row r="146" spans="1:8" x14ac:dyDescent="0.3">
      <c r="A146">
        <v>1194</v>
      </c>
      <c r="B146" t="s">
        <v>2</v>
      </c>
      <c r="C146">
        <v>0</v>
      </c>
      <c r="D146">
        <v>419.1</v>
      </c>
      <c r="E146" s="8">
        <v>45790</v>
      </c>
      <c r="F146" t="s">
        <v>568</v>
      </c>
      <c r="G146">
        <v>816</v>
      </c>
      <c r="H146" t="s">
        <v>10</v>
      </c>
    </row>
    <row r="147" spans="1:8" x14ac:dyDescent="0.3">
      <c r="A147">
        <v>1195</v>
      </c>
      <c r="B147" t="s">
        <v>3</v>
      </c>
      <c r="C147">
        <v>0</v>
      </c>
      <c r="D147">
        <v>137.94</v>
      </c>
      <c r="E147" s="8">
        <v>45769</v>
      </c>
      <c r="F147" s="8" t="s">
        <v>566</v>
      </c>
      <c r="G147">
        <v>403</v>
      </c>
      <c r="H147" t="s">
        <v>7</v>
      </c>
    </row>
    <row r="148" spans="1:8" x14ac:dyDescent="0.3">
      <c r="A148">
        <v>1196</v>
      </c>
      <c r="B148" t="s">
        <v>3</v>
      </c>
      <c r="C148">
        <v>0</v>
      </c>
      <c r="D148">
        <v>164.14</v>
      </c>
      <c r="E148" s="8">
        <v>45800</v>
      </c>
      <c r="F148" t="s">
        <v>568</v>
      </c>
      <c r="G148">
        <v>160</v>
      </c>
      <c r="H148" t="s">
        <v>7</v>
      </c>
    </row>
    <row r="149" spans="1:8" x14ac:dyDescent="0.3">
      <c r="A149">
        <v>1197</v>
      </c>
      <c r="B149" t="s">
        <v>2</v>
      </c>
      <c r="C149">
        <v>0</v>
      </c>
      <c r="D149">
        <v>384.56</v>
      </c>
      <c r="E149" s="8">
        <v>45799</v>
      </c>
      <c r="F149" t="s">
        <v>568</v>
      </c>
      <c r="G149">
        <v>390</v>
      </c>
      <c r="H149" t="s">
        <v>7</v>
      </c>
    </row>
    <row r="150" spans="1:8" x14ac:dyDescent="0.3">
      <c r="A150">
        <v>1198</v>
      </c>
      <c r="B150" t="s">
        <v>2</v>
      </c>
      <c r="C150">
        <v>1</v>
      </c>
      <c r="D150">
        <v>169.7</v>
      </c>
      <c r="E150" s="8">
        <v>45783</v>
      </c>
      <c r="F150" t="s">
        <v>568</v>
      </c>
      <c r="G150">
        <v>914</v>
      </c>
      <c r="H150" t="s">
        <v>11</v>
      </c>
    </row>
    <row r="151" spans="1:8" x14ac:dyDescent="0.3">
      <c r="A151">
        <v>1199</v>
      </c>
      <c r="B151" t="s">
        <v>2</v>
      </c>
      <c r="C151">
        <v>0</v>
      </c>
      <c r="D151">
        <v>342.57</v>
      </c>
      <c r="E151" s="8">
        <v>45822</v>
      </c>
      <c r="F151" s="8" t="s">
        <v>567</v>
      </c>
      <c r="G151">
        <v>922</v>
      </c>
      <c r="H151" t="s">
        <v>11</v>
      </c>
    </row>
    <row r="152" spans="1:8" x14ac:dyDescent="0.3">
      <c r="A152">
        <v>120</v>
      </c>
      <c r="B152" t="s">
        <v>2</v>
      </c>
      <c r="C152">
        <v>1</v>
      </c>
      <c r="D152">
        <v>431.8</v>
      </c>
      <c r="E152" s="8">
        <v>45814</v>
      </c>
      <c r="F152" s="8" t="s">
        <v>567</v>
      </c>
      <c r="G152">
        <v>999</v>
      </c>
      <c r="H152" t="s">
        <v>7</v>
      </c>
    </row>
    <row r="153" spans="1:8" x14ac:dyDescent="0.3">
      <c r="A153">
        <v>1200</v>
      </c>
      <c r="B153" t="s">
        <v>3</v>
      </c>
      <c r="C153">
        <v>1</v>
      </c>
      <c r="D153">
        <v>206.5</v>
      </c>
      <c r="E153" s="8">
        <v>45793</v>
      </c>
      <c r="F153" t="s">
        <v>568</v>
      </c>
      <c r="G153">
        <v>171</v>
      </c>
      <c r="H153" t="s">
        <v>9</v>
      </c>
    </row>
    <row r="154" spans="1:8" x14ac:dyDescent="0.3">
      <c r="A154">
        <v>1201</v>
      </c>
      <c r="B154" t="s">
        <v>3</v>
      </c>
      <c r="C154">
        <v>0</v>
      </c>
      <c r="D154">
        <v>252.86</v>
      </c>
      <c r="E154" s="8">
        <v>45764</v>
      </c>
      <c r="F154" s="8" t="s">
        <v>566</v>
      </c>
      <c r="G154">
        <v>625</v>
      </c>
      <c r="H154" t="s">
        <v>12</v>
      </c>
    </row>
    <row r="155" spans="1:8" x14ac:dyDescent="0.3">
      <c r="A155">
        <v>1205</v>
      </c>
      <c r="B155" t="s">
        <v>2</v>
      </c>
      <c r="C155">
        <v>0</v>
      </c>
      <c r="D155">
        <v>311.61</v>
      </c>
      <c r="E155" s="8">
        <v>45805</v>
      </c>
      <c r="F155" t="s">
        <v>568</v>
      </c>
      <c r="G155">
        <v>88</v>
      </c>
      <c r="H155" t="s">
        <v>7</v>
      </c>
    </row>
    <row r="156" spans="1:8" x14ac:dyDescent="0.3">
      <c r="A156">
        <v>1206</v>
      </c>
      <c r="B156" t="s">
        <v>2</v>
      </c>
      <c r="C156">
        <v>0</v>
      </c>
      <c r="D156">
        <v>310.54000000000002</v>
      </c>
      <c r="E156" s="8">
        <v>45766</v>
      </c>
      <c r="F156" s="8" t="s">
        <v>566</v>
      </c>
      <c r="G156">
        <v>701</v>
      </c>
      <c r="H156" t="s">
        <v>11</v>
      </c>
    </row>
    <row r="157" spans="1:8" x14ac:dyDescent="0.3">
      <c r="A157">
        <v>1207</v>
      </c>
      <c r="B157" t="s">
        <v>3</v>
      </c>
      <c r="C157">
        <v>0</v>
      </c>
      <c r="D157">
        <v>278.18</v>
      </c>
      <c r="E157" s="8">
        <v>45752</v>
      </c>
      <c r="F157" s="8" t="s">
        <v>566</v>
      </c>
      <c r="G157">
        <v>907</v>
      </c>
      <c r="H157" t="s">
        <v>11</v>
      </c>
    </row>
    <row r="158" spans="1:8" x14ac:dyDescent="0.3">
      <c r="A158">
        <v>1208</v>
      </c>
      <c r="B158" t="s">
        <v>2</v>
      </c>
      <c r="C158">
        <v>1</v>
      </c>
      <c r="D158">
        <v>454.1</v>
      </c>
      <c r="E158" s="8">
        <v>45814</v>
      </c>
      <c r="F158" s="8" t="s">
        <v>567</v>
      </c>
      <c r="G158">
        <v>388</v>
      </c>
      <c r="H158" t="s">
        <v>8</v>
      </c>
    </row>
    <row r="159" spans="1:8" x14ac:dyDescent="0.3">
      <c r="A159">
        <v>1209</v>
      </c>
      <c r="B159" t="s">
        <v>2</v>
      </c>
      <c r="C159">
        <v>0</v>
      </c>
      <c r="D159">
        <v>208.57</v>
      </c>
      <c r="E159" s="8">
        <v>45767</v>
      </c>
      <c r="F159" s="8" t="s">
        <v>566</v>
      </c>
      <c r="G159">
        <v>90</v>
      </c>
      <c r="H159" t="s">
        <v>7</v>
      </c>
    </row>
    <row r="160" spans="1:8" x14ac:dyDescent="0.3">
      <c r="A160">
        <v>121</v>
      </c>
      <c r="B160" t="s">
        <v>3</v>
      </c>
      <c r="C160">
        <v>0</v>
      </c>
      <c r="D160">
        <v>566.29</v>
      </c>
      <c r="E160" s="8">
        <v>45772</v>
      </c>
      <c r="F160" s="8" t="s">
        <v>566</v>
      </c>
      <c r="G160">
        <v>867</v>
      </c>
      <c r="H160" t="s">
        <v>8</v>
      </c>
    </row>
    <row r="161" spans="1:8" x14ac:dyDescent="0.3">
      <c r="A161">
        <v>1210</v>
      </c>
      <c r="B161" t="s">
        <v>3</v>
      </c>
      <c r="C161">
        <v>0</v>
      </c>
      <c r="D161">
        <v>543.20000000000005</v>
      </c>
      <c r="E161" s="8">
        <v>45825</v>
      </c>
      <c r="F161" s="8" t="s">
        <v>567</v>
      </c>
      <c r="G161">
        <v>864</v>
      </c>
      <c r="H161" t="s">
        <v>10</v>
      </c>
    </row>
    <row r="162" spans="1:8" x14ac:dyDescent="0.3">
      <c r="A162">
        <v>1211</v>
      </c>
      <c r="B162" t="s">
        <v>3</v>
      </c>
      <c r="C162">
        <v>0</v>
      </c>
      <c r="D162">
        <v>317.66000000000003</v>
      </c>
      <c r="E162" s="8">
        <v>45800</v>
      </c>
      <c r="F162" t="s">
        <v>568</v>
      </c>
      <c r="G162">
        <v>346</v>
      </c>
      <c r="H162" t="s">
        <v>9</v>
      </c>
    </row>
    <row r="163" spans="1:8" x14ac:dyDescent="0.3">
      <c r="A163">
        <v>1213</v>
      </c>
      <c r="B163" t="s">
        <v>2</v>
      </c>
      <c r="C163">
        <v>0</v>
      </c>
      <c r="D163">
        <v>365.27</v>
      </c>
      <c r="E163" s="8">
        <v>45793</v>
      </c>
      <c r="F163" t="s">
        <v>568</v>
      </c>
      <c r="G163">
        <v>155</v>
      </c>
      <c r="H163" t="s">
        <v>7</v>
      </c>
    </row>
    <row r="164" spans="1:8" x14ac:dyDescent="0.3">
      <c r="A164">
        <v>1214</v>
      </c>
      <c r="B164" t="s">
        <v>2</v>
      </c>
      <c r="C164">
        <v>1</v>
      </c>
      <c r="D164">
        <v>301.3</v>
      </c>
      <c r="E164" s="8">
        <v>45814</v>
      </c>
      <c r="F164" s="8" t="s">
        <v>567</v>
      </c>
      <c r="G164">
        <v>280</v>
      </c>
      <c r="H164" t="s">
        <v>7</v>
      </c>
    </row>
    <row r="165" spans="1:8" x14ac:dyDescent="0.3">
      <c r="A165">
        <v>1215</v>
      </c>
      <c r="B165" t="s">
        <v>3</v>
      </c>
      <c r="C165">
        <v>0</v>
      </c>
      <c r="D165">
        <v>562.51</v>
      </c>
      <c r="E165" s="8">
        <v>45769</v>
      </c>
      <c r="F165" s="8" t="s">
        <v>566</v>
      </c>
      <c r="G165">
        <v>638</v>
      </c>
      <c r="H165" t="s">
        <v>8</v>
      </c>
    </row>
    <row r="166" spans="1:8" x14ac:dyDescent="0.3">
      <c r="A166">
        <v>1216</v>
      </c>
      <c r="B166" t="s">
        <v>3</v>
      </c>
      <c r="C166">
        <v>0</v>
      </c>
      <c r="D166">
        <v>105.22</v>
      </c>
      <c r="E166" s="8">
        <v>45774</v>
      </c>
      <c r="F166" s="8" t="s">
        <v>566</v>
      </c>
      <c r="G166">
        <v>915</v>
      </c>
      <c r="H166" t="s">
        <v>11</v>
      </c>
    </row>
    <row r="167" spans="1:8" x14ac:dyDescent="0.3">
      <c r="A167">
        <v>1218</v>
      </c>
      <c r="B167" t="s">
        <v>3</v>
      </c>
      <c r="C167">
        <v>0</v>
      </c>
      <c r="D167">
        <v>293.92</v>
      </c>
      <c r="E167" s="8">
        <v>45770</v>
      </c>
      <c r="F167" s="8" t="s">
        <v>566</v>
      </c>
      <c r="G167">
        <v>497</v>
      </c>
      <c r="H167" t="s">
        <v>7</v>
      </c>
    </row>
    <row r="168" spans="1:8" x14ac:dyDescent="0.3">
      <c r="A168">
        <v>1219</v>
      </c>
      <c r="B168" t="s">
        <v>2</v>
      </c>
      <c r="C168">
        <v>0</v>
      </c>
      <c r="D168">
        <v>274.11</v>
      </c>
      <c r="E168" s="8">
        <v>45791</v>
      </c>
      <c r="F168" t="s">
        <v>568</v>
      </c>
      <c r="G168">
        <v>234</v>
      </c>
      <c r="H168" t="s">
        <v>9</v>
      </c>
    </row>
    <row r="169" spans="1:8" x14ac:dyDescent="0.3">
      <c r="A169">
        <v>1220</v>
      </c>
      <c r="B169" t="s">
        <v>2</v>
      </c>
      <c r="C169">
        <v>0</v>
      </c>
      <c r="D169">
        <v>299.77</v>
      </c>
      <c r="E169" s="8">
        <v>45798</v>
      </c>
      <c r="F169" t="s">
        <v>568</v>
      </c>
      <c r="G169">
        <v>150</v>
      </c>
      <c r="H169" t="s">
        <v>8</v>
      </c>
    </row>
    <row r="170" spans="1:8" x14ac:dyDescent="0.3">
      <c r="A170">
        <v>1223</v>
      </c>
      <c r="B170" t="s">
        <v>3</v>
      </c>
      <c r="C170">
        <v>1</v>
      </c>
      <c r="D170">
        <v>70.56</v>
      </c>
      <c r="E170" s="8">
        <v>45794</v>
      </c>
      <c r="F170" t="s">
        <v>568</v>
      </c>
      <c r="G170">
        <v>380</v>
      </c>
      <c r="H170" t="s">
        <v>9</v>
      </c>
    </row>
    <row r="171" spans="1:8" x14ac:dyDescent="0.3">
      <c r="A171">
        <v>1224</v>
      </c>
      <c r="B171" t="s">
        <v>2</v>
      </c>
      <c r="C171">
        <v>0</v>
      </c>
      <c r="D171">
        <v>172.89</v>
      </c>
      <c r="E171" s="8">
        <v>45766</v>
      </c>
      <c r="F171" s="8" t="s">
        <v>566</v>
      </c>
      <c r="G171">
        <v>461</v>
      </c>
      <c r="H171" t="s">
        <v>7</v>
      </c>
    </row>
    <row r="172" spans="1:8" x14ac:dyDescent="0.3">
      <c r="A172">
        <v>1225</v>
      </c>
      <c r="B172" t="s">
        <v>3</v>
      </c>
      <c r="C172">
        <v>0</v>
      </c>
      <c r="D172">
        <v>232.25</v>
      </c>
      <c r="E172" s="8">
        <v>45774</v>
      </c>
      <c r="F172" s="8" t="s">
        <v>566</v>
      </c>
      <c r="G172">
        <v>204</v>
      </c>
      <c r="H172" t="s">
        <v>7</v>
      </c>
    </row>
    <row r="173" spans="1:8" x14ac:dyDescent="0.3">
      <c r="A173">
        <v>1226</v>
      </c>
      <c r="B173" t="s">
        <v>3</v>
      </c>
      <c r="C173">
        <v>1</v>
      </c>
      <c r="D173">
        <v>164.4</v>
      </c>
      <c r="E173" s="8">
        <v>45795</v>
      </c>
      <c r="F173" t="s">
        <v>568</v>
      </c>
      <c r="G173">
        <v>36</v>
      </c>
      <c r="H173" t="s">
        <v>8</v>
      </c>
    </row>
    <row r="174" spans="1:8" x14ac:dyDescent="0.3">
      <c r="A174">
        <v>1227</v>
      </c>
      <c r="B174" t="s">
        <v>3</v>
      </c>
      <c r="C174">
        <v>0</v>
      </c>
      <c r="D174">
        <v>241.04</v>
      </c>
      <c r="E174" s="8">
        <v>45760</v>
      </c>
      <c r="F174" s="8" t="s">
        <v>566</v>
      </c>
      <c r="G174">
        <v>780</v>
      </c>
      <c r="H174" t="s">
        <v>12</v>
      </c>
    </row>
    <row r="175" spans="1:8" x14ac:dyDescent="0.3">
      <c r="A175">
        <v>1229</v>
      </c>
      <c r="B175" t="s">
        <v>3</v>
      </c>
      <c r="C175">
        <v>0</v>
      </c>
      <c r="D175">
        <v>343.99</v>
      </c>
      <c r="E175" s="8">
        <v>45806</v>
      </c>
      <c r="F175" t="s">
        <v>568</v>
      </c>
      <c r="G175">
        <v>503</v>
      </c>
      <c r="H175" t="s">
        <v>9</v>
      </c>
    </row>
    <row r="176" spans="1:8" x14ac:dyDescent="0.3">
      <c r="A176">
        <v>123</v>
      </c>
      <c r="B176" t="s">
        <v>3</v>
      </c>
      <c r="C176">
        <v>0</v>
      </c>
      <c r="D176">
        <v>410.04</v>
      </c>
      <c r="E176" s="8">
        <v>45798</v>
      </c>
      <c r="F176" t="s">
        <v>568</v>
      </c>
      <c r="G176">
        <v>769</v>
      </c>
      <c r="H176" t="s">
        <v>9</v>
      </c>
    </row>
    <row r="177" spans="1:8" x14ac:dyDescent="0.3">
      <c r="A177">
        <v>1230</v>
      </c>
      <c r="B177" t="s">
        <v>2</v>
      </c>
      <c r="C177">
        <v>0</v>
      </c>
      <c r="D177">
        <v>220.21</v>
      </c>
      <c r="E177" s="8">
        <v>45796</v>
      </c>
      <c r="F177" t="s">
        <v>568</v>
      </c>
      <c r="G177">
        <v>954</v>
      </c>
      <c r="H177" t="s">
        <v>12</v>
      </c>
    </row>
    <row r="178" spans="1:8" x14ac:dyDescent="0.3">
      <c r="A178">
        <v>1231</v>
      </c>
      <c r="B178" t="s">
        <v>3</v>
      </c>
      <c r="C178">
        <v>0</v>
      </c>
      <c r="D178">
        <v>535.45000000000005</v>
      </c>
      <c r="E178" s="8">
        <v>45781</v>
      </c>
      <c r="F178" t="s">
        <v>568</v>
      </c>
      <c r="G178">
        <v>346</v>
      </c>
      <c r="H178" t="s">
        <v>9</v>
      </c>
    </row>
    <row r="179" spans="1:8" x14ac:dyDescent="0.3">
      <c r="A179">
        <v>1234</v>
      </c>
      <c r="B179" t="s">
        <v>3</v>
      </c>
      <c r="C179">
        <v>0</v>
      </c>
      <c r="D179">
        <v>338.34</v>
      </c>
      <c r="E179" s="8">
        <v>45770</v>
      </c>
      <c r="F179" s="8" t="s">
        <v>566</v>
      </c>
      <c r="G179">
        <v>641</v>
      </c>
      <c r="H179" t="s">
        <v>11</v>
      </c>
    </row>
    <row r="180" spans="1:8" x14ac:dyDescent="0.3">
      <c r="A180">
        <v>1236</v>
      </c>
      <c r="B180" t="s">
        <v>2</v>
      </c>
      <c r="C180">
        <v>0</v>
      </c>
      <c r="D180">
        <v>428.95</v>
      </c>
      <c r="E180" s="8">
        <v>45813</v>
      </c>
      <c r="F180" s="8" t="s">
        <v>567</v>
      </c>
      <c r="G180">
        <v>792</v>
      </c>
      <c r="H180" t="s">
        <v>9</v>
      </c>
    </row>
    <row r="181" spans="1:8" x14ac:dyDescent="0.3">
      <c r="A181">
        <v>1237</v>
      </c>
      <c r="B181" t="s">
        <v>2</v>
      </c>
      <c r="C181">
        <v>0</v>
      </c>
      <c r="D181">
        <v>400.86</v>
      </c>
      <c r="E181" s="8">
        <v>45775</v>
      </c>
      <c r="F181" s="8" t="s">
        <v>566</v>
      </c>
      <c r="G181">
        <v>305</v>
      </c>
      <c r="H181" t="s">
        <v>7</v>
      </c>
    </row>
    <row r="182" spans="1:8" x14ac:dyDescent="0.3">
      <c r="A182">
        <v>1239</v>
      </c>
      <c r="B182" t="s">
        <v>2</v>
      </c>
      <c r="C182">
        <v>0</v>
      </c>
      <c r="D182">
        <v>385.12</v>
      </c>
      <c r="E182" s="8">
        <v>45805</v>
      </c>
      <c r="F182" t="s">
        <v>568</v>
      </c>
      <c r="G182">
        <v>253</v>
      </c>
      <c r="H182" t="s">
        <v>8</v>
      </c>
    </row>
    <row r="183" spans="1:8" x14ac:dyDescent="0.3">
      <c r="A183">
        <v>124</v>
      </c>
      <c r="B183" t="s">
        <v>2</v>
      </c>
      <c r="C183">
        <v>0</v>
      </c>
      <c r="D183">
        <v>245.7</v>
      </c>
      <c r="E183" s="8">
        <v>45766</v>
      </c>
      <c r="F183" s="8" t="s">
        <v>566</v>
      </c>
      <c r="G183">
        <v>99</v>
      </c>
      <c r="H183" t="s">
        <v>11</v>
      </c>
    </row>
    <row r="184" spans="1:8" x14ac:dyDescent="0.3">
      <c r="A184">
        <v>1243</v>
      </c>
      <c r="B184" t="s">
        <v>2</v>
      </c>
      <c r="C184">
        <v>0</v>
      </c>
      <c r="D184">
        <v>138.93</v>
      </c>
      <c r="E184" s="8">
        <v>45796</v>
      </c>
      <c r="F184" t="s">
        <v>568</v>
      </c>
      <c r="G184">
        <v>263</v>
      </c>
      <c r="H184" t="s">
        <v>8</v>
      </c>
    </row>
    <row r="185" spans="1:8" x14ac:dyDescent="0.3">
      <c r="A185">
        <v>1244</v>
      </c>
      <c r="B185" t="s">
        <v>2</v>
      </c>
      <c r="C185">
        <v>0</v>
      </c>
      <c r="D185">
        <v>426.38</v>
      </c>
      <c r="E185" s="8">
        <v>45808</v>
      </c>
      <c r="F185" t="s">
        <v>568</v>
      </c>
      <c r="G185">
        <v>816</v>
      </c>
      <c r="H185" t="s">
        <v>10</v>
      </c>
    </row>
    <row r="186" spans="1:8" x14ac:dyDescent="0.3">
      <c r="A186">
        <v>1245</v>
      </c>
      <c r="B186" t="s">
        <v>2</v>
      </c>
      <c r="C186">
        <v>0</v>
      </c>
      <c r="D186">
        <v>261.02</v>
      </c>
      <c r="E186" s="8">
        <v>45794</v>
      </c>
      <c r="F186" t="s">
        <v>568</v>
      </c>
      <c r="G186">
        <v>348</v>
      </c>
      <c r="H186" t="s">
        <v>7</v>
      </c>
    </row>
    <row r="187" spans="1:8" x14ac:dyDescent="0.3">
      <c r="A187">
        <v>1247</v>
      </c>
      <c r="B187" t="s">
        <v>2</v>
      </c>
      <c r="C187">
        <v>0</v>
      </c>
      <c r="D187">
        <v>540.15</v>
      </c>
      <c r="E187" s="8">
        <v>45768</v>
      </c>
      <c r="F187" s="8" t="s">
        <v>566</v>
      </c>
      <c r="G187">
        <v>563</v>
      </c>
      <c r="H187" t="s">
        <v>10</v>
      </c>
    </row>
    <row r="188" spans="1:8" x14ac:dyDescent="0.3">
      <c r="A188">
        <v>1248</v>
      </c>
      <c r="B188" t="s">
        <v>3</v>
      </c>
      <c r="C188">
        <v>0</v>
      </c>
      <c r="D188">
        <v>190.53</v>
      </c>
      <c r="E188" s="8">
        <v>45760</v>
      </c>
      <c r="F188" s="8" t="s">
        <v>566</v>
      </c>
      <c r="G188">
        <v>898</v>
      </c>
      <c r="H188" t="s">
        <v>9</v>
      </c>
    </row>
    <row r="189" spans="1:8" x14ac:dyDescent="0.3">
      <c r="A189">
        <v>1249</v>
      </c>
      <c r="B189" t="s">
        <v>2</v>
      </c>
      <c r="C189">
        <v>0</v>
      </c>
      <c r="D189">
        <v>139.01</v>
      </c>
      <c r="E189" s="8">
        <v>45821</v>
      </c>
      <c r="F189" s="8" t="s">
        <v>567</v>
      </c>
      <c r="G189">
        <v>467</v>
      </c>
      <c r="H189" t="s">
        <v>11</v>
      </c>
    </row>
    <row r="190" spans="1:8" x14ac:dyDescent="0.3">
      <c r="A190">
        <v>125</v>
      </c>
      <c r="B190" t="s">
        <v>3</v>
      </c>
      <c r="C190">
        <v>0</v>
      </c>
      <c r="D190">
        <v>391.31</v>
      </c>
      <c r="E190" s="8">
        <v>45783</v>
      </c>
      <c r="F190" t="s">
        <v>568</v>
      </c>
      <c r="G190">
        <v>601</v>
      </c>
      <c r="H190" t="s">
        <v>7</v>
      </c>
    </row>
    <row r="191" spans="1:8" x14ac:dyDescent="0.3">
      <c r="A191">
        <v>1251</v>
      </c>
      <c r="B191" t="s">
        <v>3</v>
      </c>
      <c r="C191">
        <v>0</v>
      </c>
      <c r="D191">
        <v>202.77</v>
      </c>
      <c r="E191" s="8">
        <v>45777</v>
      </c>
      <c r="F191" s="8" t="s">
        <v>566</v>
      </c>
      <c r="G191">
        <v>662</v>
      </c>
      <c r="H191" t="s">
        <v>9</v>
      </c>
    </row>
    <row r="192" spans="1:8" x14ac:dyDescent="0.3">
      <c r="A192">
        <v>1252</v>
      </c>
      <c r="B192" t="s">
        <v>2</v>
      </c>
      <c r="C192">
        <v>0</v>
      </c>
      <c r="D192">
        <v>429.24</v>
      </c>
      <c r="E192" s="8">
        <v>45776</v>
      </c>
      <c r="F192" s="8" t="s">
        <v>566</v>
      </c>
      <c r="G192">
        <v>986</v>
      </c>
      <c r="H192" t="s">
        <v>10</v>
      </c>
    </row>
    <row r="193" spans="1:8" x14ac:dyDescent="0.3">
      <c r="A193">
        <v>1253</v>
      </c>
      <c r="B193" t="s">
        <v>2</v>
      </c>
      <c r="C193">
        <v>0</v>
      </c>
      <c r="D193">
        <v>289.93</v>
      </c>
      <c r="E193" s="8">
        <v>45771</v>
      </c>
      <c r="F193" s="8" t="s">
        <v>566</v>
      </c>
      <c r="G193">
        <v>611</v>
      </c>
      <c r="H193" t="s">
        <v>11</v>
      </c>
    </row>
    <row r="194" spans="1:8" x14ac:dyDescent="0.3">
      <c r="A194">
        <v>1254</v>
      </c>
      <c r="B194" t="s">
        <v>3</v>
      </c>
      <c r="C194">
        <v>0</v>
      </c>
      <c r="D194">
        <v>492.02</v>
      </c>
      <c r="E194" s="8">
        <v>45803</v>
      </c>
      <c r="F194" t="s">
        <v>568</v>
      </c>
      <c r="G194">
        <v>103</v>
      </c>
      <c r="H194" t="s">
        <v>8</v>
      </c>
    </row>
    <row r="195" spans="1:8" x14ac:dyDescent="0.3">
      <c r="A195">
        <v>1255</v>
      </c>
      <c r="B195" t="s">
        <v>3</v>
      </c>
      <c r="C195">
        <v>0</v>
      </c>
      <c r="D195">
        <v>104.81</v>
      </c>
      <c r="E195" s="8">
        <v>45763</v>
      </c>
      <c r="F195" s="8" t="s">
        <v>566</v>
      </c>
      <c r="G195">
        <v>464</v>
      </c>
      <c r="H195" t="s">
        <v>7</v>
      </c>
    </row>
    <row r="196" spans="1:8" x14ac:dyDescent="0.3">
      <c r="A196">
        <v>1256</v>
      </c>
      <c r="B196" t="s">
        <v>3</v>
      </c>
      <c r="C196">
        <v>0</v>
      </c>
      <c r="D196">
        <v>211.32</v>
      </c>
      <c r="E196" s="8">
        <v>45763</v>
      </c>
      <c r="F196" s="8" t="s">
        <v>566</v>
      </c>
      <c r="G196">
        <v>393</v>
      </c>
      <c r="H196" t="s">
        <v>8</v>
      </c>
    </row>
    <row r="197" spans="1:8" x14ac:dyDescent="0.3">
      <c r="A197">
        <v>1257</v>
      </c>
      <c r="B197" t="s">
        <v>2</v>
      </c>
      <c r="C197">
        <v>0</v>
      </c>
      <c r="D197">
        <v>420.75</v>
      </c>
      <c r="E197" s="8">
        <v>45804</v>
      </c>
      <c r="F197" t="s">
        <v>568</v>
      </c>
      <c r="G197">
        <v>510</v>
      </c>
      <c r="H197" t="s">
        <v>8</v>
      </c>
    </row>
    <row r="198" spans="1:8" x14ac:dyDescent="0.3">
      <c r="A198">
        <v>1258</v>
      </c>
      <c r="B198" t="s">
        <v>3</v>
      </c>
      <c r="C198">
        <v>0</v>
      </c>
      <c r="D198">
        <v>436.16</v>
      </c>
      <c r="E198" s="8">
        <v>45799</v>
      </c>
      <c r="F198" t="s">
        <v>568</v>
      </c>
      <c r="G198">
        <v>5</v>
      </c>
      <c r="H198" t="s">
        <v>11</v>
      </c>
    </row>
    <row r="199" spans="1:8" x14ac:dyDescent="0.3">
      <c r="A199">
        <v>1259</v>
      </c>
      <c r="B199" t="s">
        <v>2</v>
      </c>
      <c r="C199">
        <v>0</v>
      </c>
      <c r="D199">
        <v>296.24</v>
      </c>
      <c r="E199" s="8">
        <v>45762</v>
      </c>
      <c r="F199" s="8" t="s">
        <v>566</v>
      </c>
      <c r="G199">
        <v>762</v>
      </c>
      <c r="H199" t="s">
        <v>11</v>
      </c>
    </row>
    <row r="200" spans="1:8" x14ac:dyDescent="0.3">
      <c r="A200">
        <v>126</v>
      </c>
      <c r="B200" t="s">
        <v>2</v>
      </c>
      <c r="C200">
        <v>0</v>
      </c>
      <c r="D200">
        <v>484.47</v>
      </c>
      <c r="E200" s="8">
        <v>45792</v>
      </c>
      <c r="F200" t="s">
        <v>568</v>
      </c>
      <c r="G200">
        <v>476</v>
      </c>
      <c r="H200" t="s">
        <v>7</v>
      </c>
    </row>
    <row r="201" spans="1:8" x14ac:dyDescent="0.3">
      <c r="A201">
        <v>1262</v>
      </c>
      <c r="B201" t="s">
        <v>2</v>
      </c>
      <c r="C201">
        <v>0</v>
      </c>
      <c r="D201">
        <v>345.74</v>
      </c>
      <c r="E201" s="8">
        <v>45775</v>
      </c>
      <c r="F201" s="8" t="s">
        <v>566</v>
      </c>
      <c r="G201">
        <v>456</v>
      </c>
      <c r="H201" t="s">
        <v>9</v>
      </c>
    </row>
    <row r="202" spans="1:8" x14ac:dyDescent="0.3">
      <c r="A202">
        <v>1263</v>
      </c>
      <c r="B202" t="s">
        <v>3</v>
      </c>
      <c r="C202">
        <v>0</v>
      </c>
      <c r="D202">
        <v>230.86</v>
      </c>
      <c r="E202" s="8">
        <v>45769</v>
      </c>
      <c r="F202" s="8" t="s">
        <v>566</v>
      </c>
      <c r="G202">
        <v>974</v>
      </c>
      <c r="H202" t="s">
        <v>9</v>
      </c>
    </row>
    <row r="203" spans="1:8" x14ac:dyDescent="0.3">
      <c r="A203">
        <v>1265</v>
      </c>
      <c r="B203" t="s">
        <v>2</v>
      </c>
      <c r="C203">
        <v>0</v>
      </c>
      <c r="D203">
        <v>447.76</v>
      </c>
      <c r="E203" s="8">
        <v>45798</v>
      </c>
      <c r="F203" t="s">
        <v>568</v>
      </c>
      <c r="G203">
        <v>116</v>
      </c>
      <c r="H203" t="s">
        <v>10</v>
      </c>
    </row>
    <row r="204" spans="1:8" x14ac:dyDescent="0.3">
      <c r="A204">
        <v>1268</v>
      </c>
      <c r="B204" t="s">
        <v>2</v>
      </c>
      <c r="C204">
        <v>0</v>
      </c>
      <c r="D204">
        <v>313.3</v>
      </c>
      <c r="E204" s="8">
        <v>45795</v>
      </c>
      <c r="F204" t="s">
        <v>568</v>
      </c>
      <c r="G204">
        <v>767</v>
      </c>
      <c r="H204" t="s">
        <v>10</v>
      </c>
    </row>
    <row r="205" spans="1:8" x14ac:dyDescent="0.3">
      <c r="A205">
        <v>1269</v>
      </c>
      <c r="B205" t="s">
        <v>3</v>
      </c>
      <c r="C205">
        <v>0</v>
      </c>
      <c r="D205">
        <v>159.58000000000001</v>
      </c>
      <c r="E205" s="8">
        <v>45822</v>
      </c>
      <c r="F205" s="8" t="s">
        <v>567</v>
      </c>
      <c r="G205">
        <v>930</v>
      </c>
      <c r="H205" t="s">
        <v>10</v>
      </c>
    </row>
    <row r="206" spans="1:8" x14ac:dyDescent="0.3">
      <c r="A206">
        <v>127</v>
      </c>
      <c r="B206" t="s">
        <v>3</v>
      </c>
      <c r="C206">
        <v>0</v>
      </c>
      <c r="D206">
        <v>566.98</v>
      </c>
      <c r="E206" s="8">
        <v>45760</v>
      </c>
      <c r="F206" s="8" t="s">
        <v>566</v>
      </c>
      <c r="G206">
        <v>490</v>
      </c>
      <c r="H206" t="s">
        <v>7</v>
      </c>
    </row>
    <row r="207" spans="1:8" x14ac:dyDescent="0.3">
      <c r="A207">
        <v>1270</v>
      </c>
      <c r="B207" t="s">
        <v>3</v>
      </c>
      <c r="C207">
        <v>0</v>
      </c>
      <c r="D207">
        <v>295.25</v>
      </c>
      <c r="E207" s="8">
        <v>45771</v>
      </c>
      <c r="F207" s="8" t="s">
        <v>566</v>
      </c>
      <c r="G207">
        <v>459</v>
      </c>
      <c r="H207" t="s">
        <v>8</v>
      </c>
    </row>
    <row r="208" spans="1:8" x14ac:dyDescent="0.3">
      <c r="A208">
        <v>1271</v>
      </c>
      <c r="B208" t="s">
        <v>2</v>
      </c>
      <c r="C208">
        <v>0</v>
      </c>
      <c r="D208">
        <v>314.70999999999998</v>
      </c>
      <c r="E208" s="8">
        <v>45781</v>
      </c>
      <c r="F208" t="s">
        <v>568</v>
      </c>
      <c r="G208">
        <v>633</v>
      </c>
      <c r="H208" t="s">
        <v>11</v>
      </c>
    </row>
    <row r="209" spans="1:8" x14ac:dyDescent="0.3">
      <c r="A209">
        <v>1272</v>
      </c>
      <c r="B209" t="s">
        <v>3</v>
      </c>
      <c r="C209">
        <v>0</v>
      </c>
      <c r="D209">
        <v>188.26</v>
      </c>
      <c r="E209" s="8">
        <v>45762</v>
      </c>
      <c r="F209" s="8" t="s">
        <v>566</v>
      </c>
      <c r="G209">
        <v>254</v>
      </c>
      <c r="H209" t="s">
        <v>9</v>
      </c>
    </row>
    <row r="210" spans="1:8" x14ac:dyDescent="0.3">
      <c r="A210">
        <v>1273</v>
      </c>
      <c r="B210" t="s">
        <v>3</v>
      </c>
      <c r="C210">
        <v>0</v>
      </c>
      <c r="D210">
        <v>286.62</v>
      </c>
      <c r="E210" s="8">
        <v>45801</v>
      </c>
      <c r="F210" t="s">
        <v>568</v>
      </c>
      <c r="G210">
        <v>510</v>
      </c>
      <c r="H210" t="s">
        <v>8</v>
      </c>
    </row>
    <row r="211" spans="1:8" x14ac:dyDescent="0.3">
      <c r="A211">
        <v>1275</v>
      </c>
      <c r="B211" t="s">
        <v>3</v>
      </c>
      <c r="C211">
        <v>0</v>
      </c>
      <c r="D211">
        <v>323.54000000000002</v>
      </c>
      <c r="E211" s="8">
        <v>45751</v>
      </c>
      <c r="F211" s="8" t="s">
        <v>566</v>
      </c>
      <c r="G211">
        <v>655</v>
      </c>
      <c r="H211" t="s">
        <v>9</v>
      </c>
    </row>
    <row r="212" spans="1:8" x14ac:dyDescent="0.3">
      <c r="A212">
        <v>1276</v>
      </c>
      <c r="B212" t="s">
        <v>3</v>
      </c>
      <c r="C212">
        <v>0</v>
      </c>
      <c r="D212">
        <v>309.58</v>
      </c>
      <c r="E212" s="8">
        <v>45813</v>
      </c>
      <c r="F212" s="8" t="s">
        <v>567</v>
      </c>
      <c r="G212">
        <v>704</v>
      </c>
      <c r="H212" t="s">
        <v>7</v>
      </c>
    </row>
    <row r="213" spans="1:8" x14ac:dyDescent="0.3">
      <c r="A213">
        <v>1277</v>
      </c>
      <c r="B213" t="s">
        <v>3</v>
      </c>
      <c r="C213">
        <v>0</v>
      </c>
      <c r="D213">
        <v>440.86</v>
      </c>
      <c r="E213" s="8">
        <v>45813</v>
      </c>
      <c r="F213" s="8" t="s">
        <v>567</v>
      </c>
      <c r="G213">
        <v>277</v>
      </c>
      <c r="H213" t="s">
        <v>9</v>
      </c>
    </row>
    <row r="214" spans="1:8" x14ac:dyDescent="0.3">
      <c r="A214">
        <v>128</v>
      </c>
      <c r="B214" t="s">
        <v>2</v>
      </c>
      <c r="C214">
        <v>0</v>
      </c>
      <c r="D214">
        <v>282.19</v>
      </c>
      <c r="E214" s="8">
        <v>45766</v>
      </c>
      <c r="F214" s="8" t="s">
        <v>566</v>
      </c>
      <c r="G214">
        <v>115</v>
      </c>
      <c r="H214" t="s">
        <v>7</v>
      </c>
    </row>
    <row r="215" spans="1:8" x14ac:dyDescent="0.3">
      <c r="A215">
        <v>1280</v>
      </c>
      <c r="B215" t="s">
        <v>3</v>
      </c>
      <c r="C215">
        <v>0</v>
      </c>
      <c r="D215">
        <v>168.2</v>
      </c>
      <c r="E215" s="8">
        <v>45770</v>
      </c>
      <c r="F215" s="8" t="s">
        <v>566</v>
      </c>
      <c r="G215">
        <v>647</v>
      </c>
      <c r="H215" t="s">
        <v>8</v>
      </c>
    </row>
    <row r="216" spans="1:8" x14ac:dyDescent="0.3">
      <c r="A216">
        <v>1281</v>
      </c>
      <c r="B216" t="s">
        <v>3</v>
      </c>
      <c r="C216">
        <v>0</v>
      </c>
      <c r="D216">
        <v>140.28</v>
      </c>
      <c r="E216" s="8">
        <v>45753</v>
      </c>
      <c r="F216" s="8" t="s">
        <v>566</v>
      </c>
      <c r="G216">
        <v>772</v>
      </c>
      <c r="H216" t="s">
        <v>11</v>
      </c>
    </row>
    <row r="217" spans="1:8" x14ac:dyDescent="0.3">
      <c r="A217">
        <v>1285</v>
      </c>
      <c r="B217" t="s">
        <v>3</v>
      </c>
      <c r="C217">
        <v>0</v>
      </c>
      <c r="D217">
        <v>395.24</v>
      </c>
      <c r="E217" s="8">
        <v>45808</v>
      </c>
      <c r="F217" t="s">
        <v>568</v>
      </c>
      <c r="G217">
        <v>581</v>
      </c>
      <c r="H217" t="s">
        <v>7</v>
      </c>
    </row>
    <row r="218" spans="1:8" x14ac:dyDescent="0.3">
      <c r="A218">
        <v>1286</v>
      </c>
      <c r="B218" t="s">
        <v>2</v>
      </c>
      <c r="C218">
        <v>1</v>
      </c>
      <c r="D218">
        <v>213.94</v>
      </c>
      <c r="E218" s="8">
        <v>45814</v>
      </c>
      <c r="F218" s="8" t="s">
        <v>567</v>
      </c>
      <c r="G218">
        <v>628</v>
      </c>
      <c r="H218" t="s">
        <v>8</v>
      </c>
    </row>
    <row r="219" spans="1:8" x14ac:dyDescent="0.3">
      <c r="A219">
        <v>129</v>
      </c>
      <c r="B219" t="s">
        <v>3</v>
      </c>
      <c r="C219">
        <v>0</v>
      </c>
      <c r="D219">
        <v>442.47</v>
      </c>
      <c r="E219" s="8">
        <v>45803</v>
      </c>
      <c r="F219" t="s">
        <v>568</v>
      </c>
      <c r="G219">
        <v>81</v>
      </c>
      <c r="H219" t="s">
        <v>7</v>
      </c>
    </row>
    <row r="220" spans="1:8" x14ac:dyDescent="0.3">
      <c r="A220">
        <v>1290</v>
      </c>
      <c r="B220" t="s">
        <v>2</v>
      </c>
      <c r="C220">
        <v>0</v>
      </c>
      <c r="D220">
        <v>152.54</v>
      </c>
      <c r="E220" s="8">
        <v>45769</v>
      </c>
      <c r="F220" s="8" t="s">
        <v>566</v>
      </c>
      <c r="G220">
        <v>99</v>
      </c>
      <c r="H220" t="s">
        <v>11</v>
      </c>
    </row>
    <row r="221" spans="1:8" x14ac:dyDescent="0.3">
      <c r="A221">
        <v>1291</v>
      </c>
      <c r="B221" t="s">
        <v>2</v>
      </c>
      <c r="C221">
        <v>0</v>
      </c>
      <c r="D221">
        <v>101.64</v>
      </c>
      <c r="E221" s="8">
        <v>45796</v>
      </c>
      <c r="F221" t="s">
        <v>568</v>
      </c>
      <c r="G221">
        <v>615</v>
      </c>
      <c r="H221" t="s">
        <v>12</v>
      </c>
    </row>
    <row r="222" spans="1:8" x14ac:dyDescent="0.3">
      <c r="A222">
        <v>1292</v>
      </c>
      <c r="B222" t="s">
        <v>2</v>
      </c>
      <c r="C222">
        <v>0</v>
      </c>
      <c r="D222">
        <v>390.07</v>
      </c>
      <c r="E222" s="8">
        <v>45768</v>
      </c>
      <c r="F222" s="8" t="s">
        <v>566</v>
      </c>
      <c r="G222">
        <v>338</v>
      </c>
      <c r="H222" t="s">
        <v>11</v>
      </c>
    </row>
    <row r="223" spans="1:8" x14ac:dyDescent="0.3">
      <c r="A223">
        <v>1294</v>
      </c>
      <c r="B223" t="s">
        <v>2</v>
      </c>
      <c r="C223">
        <v>0</v>
      </c>
      <c r="D223">
        <v>249.28</v>
      </c>
      <c r="E223" s="8">
        <v>45769</v>
      </c>
      <c r="F223" s="8" t="s">
        <v>566</v>
      </c>
      <c r="G223">
        <v>407</v>
      </c>
      <c r="H223" t="s">
        <v>9</v>
      </c>
    </row>
    <row r="224" spans="1:8" x14ac:dyDescent="0.3">
      <c r="A224">
        <v>1295</v>
      </c>
      <c r="B224" t="s">
        <v>2</v>
      </c>
      <c r="C224">
        <v>0</v>
      </c>
      <c r="D224">
        <v>275.39</v>
      </c>
      <c r="E224" s="8">
        <v>45794</v>
      </c>
      <c r="F224" t="s">
        <v>568</v>
      </c>
      <c r="G224">
        <v>144</v>
      </c>
      <c r="H224" t="s">
        <v>7</v>
      </c>
    </row>
    <row r="225" spans="1:8" x14ac:dyDescent="0.3">
      <c r="A225">
        <v>1296</v>
      </c>
      <c r="B225" t="s">
        <v>3</v>
      </c>
      <c r="C225">
        <v>1</v>
      </c>
      <c r="D225">
        <v>108.54</v>
      </c>
      <c r="E225" s="8">
        <v>45795</v>
      </c>
      <c r="F225" t="s">
        <v>568</v>
      </c>
      <c r="G225">
        <v>331</v>
      </c>
      <c r="H225" t="s">
        <v>11</v>
      </c>
    </row>
    <row r="226" spans="1:8" x14ac:dyDescent="0.3">
      <c r="A226">
        <v>1297</v>
      </c>
      <c r="B226" t="s">
        <v>3</v>
      </c>
      <c r="C226">
        <v>0</v>
      </c>
      <c r="D226">
        <v>167.61</v>
      </c>
      <c r="E226" s="8">
        <v>45776</v>
      </c>
      <c r="F226" s="8" t="s">
        <v>566</v>
      </c>
      <c r="G226">
        <v>14</v>
      </c>
      <c r="H226" t="s">
        <v>7</v>
      </c>
    </row>
    <row r="227" spans="1:8" x14ac:dyDescent="0.3">
      <c r="A227">
        <v>1298</v>
      </c>
      <c r="B227" t="s">
        <v>2</v>
      </c>
      <c r="C227">
        <v>0</v>
      </c>
      <c r="D227">
        <v>115.34</v>
      </c>
      <c r="E227" s="8">
        <v>45793</v>
      </c>
      <c r="F227" t="s">
        <v>568</v>
      </c>
      <c r="G227">
        <v>993</v>
      </c>
      <c r="H227" t="s">
        <v>7</v>
      </c>
    </row>
    <row r="228" spans="1:8" x14ac:dyDescent="0.3">
      <c r="A228">
        <v>13</v>
      </c>
      <c r="B228" t="s">
        <v>3</v>
      </c>
      <c r="C228">
        <v>0</v>
      </c>
      <c r="D228">
        <v>696.62</v>
      </c>
      <c r="E228" s="8">
        <v>45763</v>
      </c>
      <c r="F228" s="8" t="s">
        <v>566</v>
      </c>
      <c r="G228">
        <v>253</v>
      </c>
      <c r="H228" t="s">
        <v>8</v>
      </c>
    </row>
    <row r="229" spans="1:8" x14ac:dyDescent="0.3">
      <c r="A229">
        <v>130</v>
      </c>
      <c r="B229" t="s">
        <v>3</v>
      </c>
      <c r="C229">
        <v>0</v>
      </c>
      <c r="D229">
        <v>553.91999999999996</v>
      </c>
      <c r="E229" s="8">
        <v>45752</v>
      </c>
      <c r="F229" s="8" t="s">
        <v>566</v>
      </c>
      <c r="G229">
        <v>962</v>
      </c>
      <c r="H229" t="s">
        <v>12</v>
      </c>
    </row>
    <row r="230" spans="1:8" x14ac:dyDescent="0.3">
      <c r="A230">
        <v>1300</v>
      </c>
      <c r="B230" t="s">
        <v>2</v>
      </c>
      <c r="C230">
        <v>0</v>
      </c>
      <c r="D230">
        <v>303</v>
      </c>
      <c r="E230" s="8">
        <v>45762</v>
      </c>
      <c r="F230" s="8" t="s">
        <v>566</v>
      </c>
      <c r="G230">
        <v>147</v>
      </c>
      <c r="H230" t="s">
        <v>7</v>
      </c>
    </row>
    <row r="231" spans="1:8" x14ac:dyDescent="0.3">
      <c r="A231">
        <v>1303</v>
      </c>
      <c r="B231" t="s">
        <v>2</v>
      </c>
      <c r="C231">
        <v>0</v>
      </c>
      <c r="D231">
        <v>287.88</v>
      </c>
      <c r="E231" s="8">
        <v>45798</v>
      </c>
      <c r="F231" t="s">
        <v>568</v>
      </c>
      <c r="G231">
        <v>22</v>
      </c>
      <c r="H231" t="s">
        <v>7</v>
      </c>
    </row>
    <row r="232" spans="1:8" x14ac:dyDescent="0.3">
      <c r="A232">
        <v>1304</v>
      </c>
      <c r="B232" t="s">
        <v>3</v>
      </c>
      <c r="C232">
        <v>0</v>
      </c>
      <c r="D232">
        <v>88.35</v>
      </c>
      <c r="E232" s="8">
        <v>45761</v>
      </c>
      <c r="F232" s="8" t="s">
        <v>566</v>
      </c>
      <c r="G232">
        <v>839</v>
      </c>
      <c r="H232" t="s">
        <v>7</v>
      </c>
    </row>
    <row r="233" spans="1:8" x14ac:dyDescent="0.3">
      <c r="A233">
        <v>1306</v>
      </c>
      <c r="B233" t="s">
        <v>2</v>
      </c>
      <c r="C233">
        <v>0</v>
      </c>
      <c r="D233">
        <v>334.56</v>
      </c>
      <c r="E233" s="8">
        <v>45823</v>
      </c>
      <c r="F233" s="8" t="s">
        <v>567</v>
      </c>
      <c r="G233">
        <v>188</v>
      </c>
      <c r="H233" t="s">
        <v>8</v>
      </c>
    </row>
    <row r="234" spans="1:8" x14ac:dyDescent="0.3">
      <c r="A234">
        <v>1308</v>
      </c>
      <c r="B234" t="s">
        <v>2</v>
      </c>
      <c r="C234">
        <v>0</v>
      </c>
      <c r="D234">
        <v>254.26</v>
      </c>
      <c r="E234" s="8">
        <v>45791</v>
      </c>
      <c r="F234" t="s">
        <v>568</v>
      </c>
      <c r="G234">
        <v>872</v>
      </c>
      <c r="H234" t="s">
        <v>10</v>
      </c>
    </row>
    <row r="235" spans="1:8" x14ac:dyDescent="0.3">
      <c r="A235">
        <v>1309</v>
      </c>
      <c r="B235" t="s">
        <v>3</v>
      </c>
      <c r="C235">
        <v>0</v>
      </c>
      <c r="D235">
        <v>299.49</v>
      </c>
      <c r="E235" s="8">
        <v>45766</v>
      </c>
      <c r="F235" s="8" t="s">
        <v>566</v>
      </c>
      <c r="G235">
        <v>131</v>
      </c>
      <c r="H235" t="s">
        <v>7</v>
      </c>
    </row>
    <row r="236" spans="1:8" x14ac:dyDescent="0.3">
      <c r="A236">
        <v>131</v>
      </c>
      <c r="B236" t="s">
        <v>2</v>
      </c>
      <c r="C236">
        <v>0</v>
      </c>
      <c r="D236">
        <v>625.66</v>
      </c>
      <c r="E236" s="8">
        <v>45769</v>
      </c>
      <c r="F236" s="8" t="s">
        <v>566</v>
      </c>
      <c r="G236">
        <v>816</v>
      </c>
      <c r="H236" t="s">
        <v>10</v>
      </c>
    </row>
    <row r="237" spans="1:8" x14ac:dyDescent="0.3">
      <c r="A237">
        <v>1310</v>
      </c>
      <c r="B237" t="s">
        <v>2</v>
      </c>
      <c r="C237">
        <v>0</v>
      </c>
      <c r="D237">
        <v>504.88</v>
      </c>
      <c r="E237" s="8">
        <v>45799</v>
      </c>
      <c r="F237" t="s">
        <v>568</v>
      </c>
      <c r="G237">
        <v>798</v>
      </c>
      <c r="H237" t="s">
        <v>12</v>
      </c>
    </row>
    <row r="238" spans="1:8" x14ac:dyDescent="0.3">
      <c r="A238">
        <v>1311</v>
      </c>
      <c r="B238" t="s">
        <v>2</v>
      </c>
      <c r="C238">
        <v>0</v>
      </c>
      <c r="D238">
        <v>268.73</v>
      </c>
      <c r="E238" s="8">
        <v>45808</v>
      </c>
      <c r="F238" t="s">
        <v>568</v>
      </c>
      <c r="G238">
        <v>958</v>
      </c>
      <c r="H238" t="s">
        <v>7</v>
      </c>
    </row>
    <row r="239" spans="1:8" x14ac:dyDescent="0.3">
      <c r="A239">
        <v>1312</v>
      </c>
      <c r="B239" t="s">
        <v>3</v>
      </c>
      <c r="C239">
        <v>0</v>
      </c>
      <c r="D239">
        <v>429.04</v>
      </c>
      <c r="E239" s="8">
        <v>45775</v>
      </c>
      <c r="F239" s="8" t="s">
        <v>566</v>
      </c>
      <c r="G239">
        <v>841</v>
      </c>
      <c r="H239" t="s">
        <v>11</v>
      </c>
    </row>
    <row r="240" spans="1:8" x14ac:dyDescent="0.3">
      <c r="A240">
        <v>1313</v>
      </c>
      <c r="B240" t="s">
        <v>3</v>
      </c>
      <c r="C240">
        <v>0</v>
      </c>
      <c r="D240">
        <v>190.84</v>
      </c>
      <c r="E240" s="8">
        <v>45801</v>
      </c>
      <c r="F240" t="s">
        <v>568</v>
      </c>
      <c r="G240">
        <v>601</v>
      </c>
      <c r="H240" t="s">
        <v>7</v>
      </c>
    </row>
    <row r="241" spans="1:8" x14ac:dyDescent="0.3">
      <c r="A241">
        <v>1314</v>
      </c>
      <c r="B241" t="s">
        <v>3</v>
      </c>
      <c r="C241">
        <v>0</v>
      </c>
      <c r="D241">
        <v>234.64</v>
      </c>
      <c r="E241" s="8">
        <v>45753</v>
      </c>
      <c r="F241" s="8" t="s">
        <v>566</v>
      </c>
      <c r="G241">
        <v>776</v>
      </c>
      <c r="H241" t="s">
        <v>12</v>
      </c>
    </row>
    <row r="242" spans="1:8" x14ac:dyDescent="0.3">
      <c r="A242">
        <v>1315</v>
      </c>
      <c r="B242" t="s">
        <v>3</v>
      </c>
      <c r="C242">
        <v>0</v>
      </c>
      <c r="D242">
        <v>409.24</v>
      </c>
      <c r="E242" s="8">
        <v>45773</v>
      </c>
      <c r="F242" s="8" t="s">
        <v>566</v>
      </c>
      <c r="G242">
        <v>344</v>
      </c>
      <c r="H242" t="s">
        <v>10</v>
      </c>
    </row>
    <row r="243" spans="1:8" x14ac:dyDescent="0.3">
      <c r="A243">
        <v>1316</v>
      </c>
      <c r="B243" t="s">
        <v>3</v>
      </c>
      <c r="C243">
        <v>1</v>
      </c>
      <c r="D243">
        <v>134.97999999999999</v>
      </c>
      <c r="E243" s="8">
        <v>45792</v>
      </c>
      <c r="F243" t="s">
        <v>568</v>
      </c>
      <c r="G243">
        <v>392</v>
      </c>
      <c r="H243" t="s">
        <v>10</v>
      </c>
    </row>
    <row r="244" spans="1:8" x14ac:dyDescent="0.3">
      <c r="A244">
        <v>1317</v>
      </c>
      <c r="B244" t="s">
        <v>2</v>
      </c>
      <c r="C244">
        <v>0</v>
      </c>
      <c r="D244">
        <v>288.56</v>
      </c>
      <c r="E244" s="8">
        <v>45812</v>
      </c>
      <c r="F244" s="8" t="s">
        <v>567</v>
      </c>
      <c r="G244">
        <v>285</v>
      </c>
      <c r="H244" t="s">
        <v>8</v>
      </c>
    </row>
    <row r="245" spans="1:8" x14ac:dyDescent="0.3">
      <c r="A245">
        <v>1318</v>
      </c>
      <c r="B245" t="s">
        <v>2</v>
      </c>
      <c r="C245">
        <v>0</v>
      </c>
      <c r="D245">
        <v>323.18</v>
      </c>
      <c r="E245" s="8">
        <v>45795</v>
      </c>
      <c r="F245" t="s">
        <v>568</v>
      </c>
      <c r="G245">
        <v>265</v>
      </c>
      <c r="H245" t="s">
        <v>9</v>
      </c>
    </row>
    <row r="246" spans="1:8" x14ac:dyDescent="0.3">
      <c r="A246">
        <v>132</v>
      </c>
      <c r="B246" t="s">
        <v>3</v>
      </c>
      <c r="C246">
        <v>0</v>
      </c>
      <c r="D246">
        <v>395.09</v>
      </c>
      <c r="E246" s="8">
        <v>45767</v>
      </c>
      <c r="F246" s="8" t="s">
        <v>566</v>
      </c>
      <c r="G246">
        <v>839</v>
      </c>
      <c r="H246" t="s">
        <v>7</v>
      </c>
    </row>
    <row r="247" spans="1:8" x14ac:dyDescent="0.3">
      <c r="A247">
        <v>1320</v>
      </c>
      <c r="B247" t="s">
        <v>2</v>
      </c>
      <c r="C247">
        <v>0</v>
      </c>
      <c r="D247">
        <v>91.9</v>
      </c>
      <c r="E247" s="8">
        <v>45764</v>
      </c>
      <c r="F247" s="8" t="s">
        <v>566</v>
      </c>
      <c r="G247">
        <v>730</v>
      </c>
      <c r="H247" t="s">
        <v>11</v>
      </c>
    </row>
    <row r="248" spans="1:8" x14ac:dyDescent="0.3">
      <c r="A248">
        <v>1321</v>
      </c>
      <c r="B248" t="s">
        <v>2</v>
      </c>
      <c r="C248">
        <v>0</v>
      </c>
      <c r="D248">
        <v>455.53</v>
      </c>
      <c r="E248" s="8">
        <v>45822</v>
      </c>
      <c r="F248" s="8" t="s">
        <v>567</v>
      </c>
      <c r="G248">
        <v>217</v>
      </c>
      <c r="H248" t="s">
        <v>9</v>
      </c>
    </row>
    <row r="249" spans="1:8" x14ac:dyDescent="0.3">
      <c r="A249">
        <v>1322</v>
      </c>
      <c r="B249" t="s">
        <v>2</v>
      </c>
      <c r="C249">
        <v>0</v>
      </c>
      <c r="D249">
        <v>269.83999999999997</v>
      </c>
      <c r="E249" s="8">
        <v>45804</v>
      </c>
      <c r="F249" t="s">
        <v>568</v>
      </c>
      <c r="G249">
        <v>27</v>
      </c>
      <c r="H249" t="s">
        <v>9</v>
      </c>
    </row>
    <row r="250" spans="1:8" x14ac:dyDescent="0.3">
      <c r="A250">
        <v>1326</v>
      </c>
      <c r="B250" t="s">
        <v>2</v>
      </c>
      <c r="C250">
        <v>0</v>
      </c>
      <c r="D250">
        <v>310.98</v>
      </c>
      <c r="E250" s="8">
        <v>45795</v>
      </c>
      <c r="F250" t="s">
        <v>568</v>
      </c>
      <c r="G250">
        <v>883</v>
      </c>
      <c r="H250" t="s">
        <v>9</v>
      </c>
    </row>
    <row r="251" spans="1:8" x14ac:dyDescent="0.3">
      <c r="A251">
        <v>1327</v>
      </c>
      <c r="B251" t="s">
        <v>2</v>
      </c>
      <c r="C251">
        <v>0</v>
      </c>
      <c r="D251">
        <v>113.56</v>
      </c>
      <c r="E251" s="8">
        <v>45766</v>
      </c>
      <c r="F251" s="8" t="s">
        <v>566</v>
      </c>
      <c r="G251">
        <v>770</v>
      </c>
      <c r="H251" t="s">
        <v>12</v>
      </c>
    </row>
    <row r="252" spans="1:8" x14ac:dyDescent="0.3">
      <c r="A252">
        <v>1328</v>
      </c>
      <c r="B252" t="s">
        <v>2</v>
      </c>
      <c r="C252">
        <v>0</v>
      </c>
      <c r="D252">
        <v>143.15</v>
      </c>
      <c r="E252" s="8">
        <v>45824</v>
      </c>
      <c r="F252" s="8" t="s">
        <v>567</v>
      </c>
      <c r="G252">
        <v>201</v>
      </c>
      <c r="H252" t="s">
        <v>8</v>
      </c>
    </row>
    <row r="253" spans="1:8" x14ac:dyDescent="0.3">
      <c r="A253">
        <v>1329</v>
      </c>
      <c r="B253" t="s">
        <v>3</v>
      </c>
      <c r="C253">
        <v>0</v>
      </c>
      <c r="D253">
        <v>94.92</v>
      </c>
      <c r="E253" s="8">
        <v>45774</v>
      </c>
      <c r="F253" s="8" t="s">
        <v>566</v>
      </c>
      <c r="G253">
        <v>28</v>
      </c>
      <c r="H253" t="s">
        <v>11</v>
      </c>
    </row>
    <row r="254" spans="1:8" x14ac:dyDescent="0.3">
      <c r="A254">
        <v>133</v>
      </c>
      <c r="B254" t="s">
        <v>3</v>
      </c>
      <c r="C254">
        <v>0</v>
      </c>
      <c r="D254">
        <v>450.74</v>
      </c>
      <c r="E254" s="8">
        <v>45822</v>
      </c>
      <c r="F254" s="8" t="s">
        <v>567</v>
      </c>
      <c r="G254">
        <v>570</v>
      </c>
      <c r="H254" t="s">
        <v>11</v>
      </c>
    </row>
    <row r="255" spans="1:8" x14ac:dyDescent="0.3">
      <c r="A255">
        <v>1330</v>
      </c>
      <c r="B255" t="s">
        <v>3</v>
      </c>
      <c r="C255">
        <v>0</v>
      </c>
      <c r="D255">
        <v>343.78</v>
      </c>
      <c r="E255" s="8">
        <v>45751</v>
      </c>
      <c r="F255" s="8" t="s">
        <v>566</v>
      </c>
      <c r="G255">
        <v>277</v>
      </c>
      <c r="H255" t="s">
        <v>9</v>
      </c>
    </row>
    <row r="256" spans="1:8" x14ac:dyDescent="0.3">
      <c r="A256">
        <v>1331</v>
      </c>
      <c r="B256" t="s">
        <v>3</v>
      </c>
      <c r="C256">
        <v>0</v>
      </c>
      <c r="D256">
        <v>257.02999999999997</v>
      </c>
      <c r="E256" s="8">
        <v>45773</v>
      </c>
      <c r="F256" s="8" t="s">
        <v>566</v>
      </c>
      <c r="G256">
        <v>447</v>
      </c>
      <c r="H256" t="s">
        <v>8</v>
      </c>
    </row>
    <row r="257" spans="1:8" x14ac:dyDescent="0.3">
      <c r="A257">
        <v>1332</v>
      </c>
      <c r="B257" t="s">
        <v>2</v>
      </c>
      <c r="C257">
        <v>0</v>
      </c>
      <c r="D257">
        <v>161.81</v>
      </c>
      <c r="E257" s="8">
        <v>45790</v>
      </c>
      <c r="F257" t="s">
        <v>568</v>
      </c>
      <c r="G257">
        <v>783</v>
      </c>
      <c r="H257" t="s">
        <v>9</v>
      </c>
    </row>
    <row r="258" spans="1:8" x14ac:dyDescent="0.3">
      <c r="A258">
        <v>1333</v>
      </c>
      <c r="B258" t="s">
        <v>3</v>
      </c>
      <c r="C258">
        <v>1</v>
      </c>
      <c r="D258">
        <v>115.4</v>
      </c>
      <c r="E258" s="8">
        <v>45791</v>
      </c>
      <c r="F258" t="s">
        <v>568</v>
      </c>
      <c r="G258">
        <v>215</v>
      </c>
      <c r="H258" t="s">
        <v>10</v>
      </c>
    </row>
    <row r="259" spans="1:8" x14ac:dyDescent="0.3">
      <c r="A259">
        <v>1335</v>
      </c>
      <c r="B259" t="s">
        <v>3</v>
      </c>
      <c r="C259">
        <v>0</v>
      </c>
      <c r="D259">
        <v>258.45999999999998</v>
      </c>
      <c r="E259" s="8">
        <v>45771</v>
      </c>
      <c r="F259" s="8" t="s">
        <v>566</v>
      </c>
      <c r="G259">
        <v>999</v>
      </c>
      <c r="H259" t="s">
        <v>7</v>
      </c>
    </row>
    <row r="260" spans="1:8" x14ac:dyDescent="0.3">
      <c r="A260">
        <v>1336</v>
      </c>
      <c r="B260" t="s">
        <v>2</v>
      </c>
      <c r="C260">
        <v>0</v>
      </c>
      <c r="D260">
        <v>184.47</v>
      </c>
      <c r="E260" s="8">
        <v>45751</v>
      </c>
      <c r="F260" s="8" t="s">
        <v>566</v>
      </c>
      <c r="G260">
        <v>557</v>
      </c>
      <c r="H260" t="s">
        <v>11</v>
      </c>
    </row>
    <row r="261" spans="1:8" x14ac:dyDescent="0.3">
      <c r="A261">
        <v>1337</v>
      </c>
      <c r="B261" t="s">
        <v>3</v>
      </c>
      <c r="C261">
        <v>1</v>
      </c>
      <c r="D261">
        <v>352.02</v>
      </c>
      <c r="E261" s="8">
        <v>45795</v>
      </c>
      <c r="F261" t="s">
        <v>568</v>
      </c>
      <c r="G261">
        <v>943</v>
      </c>
      <c r="H261" t="s">
        <v>9</v>
      </c>
    </row>
    <row r="262" spans="1:8" x14ac:dyDescent="0.3">
      <c r="A262">
        <v>1339</v>
      </c>
      <c r="B262" t="s">
        <v>3</v>
      </c>
      <c r="C262">
        <v>0</v>
      </c>
      <c r="D262">
        <v>121.01</v>
      </c>
      <c r="E262" s="8">
        <v>45770</v>
      </c>
      <c r="F262" s="8" t="s">
        <v>566</v>
      </c>
      <c r="G262">
        <v>796</v>
      </c>
      <c r="H262" t="s">
        <v>10</v>
      </c>
    </row>
    <row r="263" spans="1:8" x14ac:dyDescent="0.3">
      <c r="A263">
        <v>1342</v>
      </c>
      <c r="B263" t="s">
        <v>2</v>
      </c>
      <c r="C263">
        <v>0</v>
      </c>
      <c r="D263">
        <v>469.26</v>
      </c>
      <c r="E263" s="8">
        <v>45800</v>
      </c>
      <c r="F263" t="s">
        <v>568</v>
      </c>
      <c r="G263">
        <v>990</v>
      </c>
      <c r="H263" t="s">
        <v>11</v>
      </c>
    </row>
    <row r="264" spans="1:8" x14ac:dyDescent="0.3">
      <c r="A264">
        <v>1343</v>
      </c>
      <c r="B264" t="s">
        <v>2</v>
      </c>
      <c r="C264">
        <v>0</v>
      </c>
      <c r="D264">
        <v>352.5</v>
      </c>
      <c r="E264" s="8">
        <v>45805</v>
      </c>
      <c r="F264" t="s">
        <v>568</v>
      </c>
      <c r="G264">
        <v>767</v>
      </c>
      <c r="H264" t="s">
        <v>10</v>
      </c>
    </row>
    <row r="265" spans="1:8" x14ac:dyDescent="0.3">
      <c r="A265">
        <v>1344</v>
      </c>
      <c r="B265" t="s">
        <v>3</v>
      </c>
      <c r="C265">
        <v>0</v>
      </c>
      <c r="D265">
        <v>179.43</v>
      </c>
      <c r="E265" s="8">
        <v>45768</v>
      </c>
      <c r="F265" s="8" t="s">
        <v>566</v>
      </c>
      <c r="G265">
        <v>857</v>
      </c>
      <c r="H265" t="s">
        <v>7</v>
      </c>
    </row>
    <row r="266" spans="1:8" x14ac:dyDescent="0.3">
      <c r="A266">
        <v>1348</v>
      </c>
      <c r="B266" t="s">
        <v>2</v>
      </c>
      <c r="C266">
        <v>0</v>
      </c>
      <c r="D266">
        <v>451.03</v>
      </c>
      <c r="E266" s="8">
        <v>45797</v>
      </c>
      <c r="F266" t="s">
        <v>568</v>
      </c>
      <c r="G266">
        <v>473</v>
      </c>
      <c r="H266" t="s">
        <v>8</v>
      </c>
    </row>
    <row r="267" spans="1:8" x14ac:dyDescent="0.3">
      <c r="A267">
        <v>1349</v>
      </c>
      <c r="B267" t="s">
        <v>2</v>
      </c>
      <c r="C267">
        <v>0</v>
      </c>
      <c r="D267">
        <v>173.5</v>
      </c>
      <c r="E267" s="8">
        <v>45804</v>
      </c>
      <c r="F267" t="s">
        <v>568</v>
      </c>
      <c r="G267">
        <v>37</v>
      </c>
      <c r="H267" t="s">
        <v>10</v>
      </c>
    </row>
    <row r="268" spans="1:8" x14ac:dyDescent="0.3">
      <c r="A268">
        <v>135</v>
      </c>
      <c r="B268" t="s">
        <v>2</v>
      </c>
      <c r="C268">
        <v>0</v>
      </c>
      <c r="D268">
        <v>702.11</v>
      </c>
      <c r="E268" s="8">
        <v>45792</v>
      </c>
      <c r="F268" t="s">
        <v>568</v>
      </c>
      <c r="G268">
        <v>607</v>
      </c>
      <c r="H268" t="s">
        <v>8</v>
      </c>
    </row>
    <row r="269" spans="1:8" x14ac:dyDescent="0.3">
      <c r="A269">
        <v>1352</v>
      </c>
      <c r="B269" t="s">
        <v>3</v>
      </c>
      <c r="C269">
        <v>0</v>
      </c>
      <c r="D269">
        <v>419.08</v>
      </c>
      <c r="E269" s="8">
        <v>45799</v>
      </c>
      <c r="F269" t="s">
        <v>568</v>
      </c>
      <c r="G269">
        <v>574</v>
      </c>
      <c r="H269" t="s">
        <v>9</v>
      </c>
    </row>
    <row r="270" spans="1:8" x14ac:dyDescent="0.3">
      <c r="A270">
        <v>136</v>
      </c>
      <c r="B270" t="s">
        <v>2</v>
      </c>
      <c r="C270">
        <v>0</v>
      </c>
      <c r="D270">
        <v>357.39</v>
      </c>
      <c r="E270" s="8">
        <v>45822</v>
      </c>
      <c r="F270" s="8" t="s">
        <v>567</v>
      </c>
      <c r="G270">
        <v>206</v>
      </c>
      <c r="H270" t="s">
        <v>11</v>
      </c>
    </row>
    <row r="271" spans="1:8" x14ac:dyDescent="0.3">
      <c r="A271">
        <v>138</v>
      </c>
      <c r="B271" t="s">
        <v>2</v>
      </c>
      <c r="C271">
        <v>0</v>
      </c>
      <c r="D271">
        <v>406.4</v>
      </c>
      <c r="E271" s="8">
        <v>45822</v>
      </c>
      <c r="F271" s="8" t="s">
        <v>567</v>
      </c>
      <c r="G271">
        <v>106</v>
      </c>
      <c r="H271" t="s">
        <v>7</v>
      </c>
    </row>
    <row r="272" spans="1:8" x14ac:dyDescent="0.3">
      <c r="A272">
        <v>139</v>
      </c>
      <c r="B272" t="s">
        <v>3</v>
      </c>
      <c r="C272">
        <v>0</v>
      </c>
      <c r="D272">
        <v>631.08000000000004</v>
      </c>
      <c r="E272" s="8">
        <v>45798</v>
      </c>
      <c r="F272" t="s">
        <v>568</v>
      </c>
      <c r="G272">
        <v>473</v>
      </c>
      <c r="H272" t="s">
        <v>8</v>
      </c>
    </row>
    <row r="273" spans="1:8" x14ac:dyDescent="0.3">
      <c r="A273">
        <v>141</v>
      </c>
      <c r="B273" t="s">
        <v>2</v>
      </c>
      <c r="C273">
        <v>0</v>
      </c>
      <c r="D273">
        <v>617.09</v>
      </c>
      <c r="E273" s="8">
        <v>45823</v>
      </c>
      <c r="F273" s="8" t="s">
        <v>567</v>
      </c>
      <c r="G273">
        <v>861</v>
      </c>
      <c r="H273" t="s">
        <v>12</v>
      </c>
    </row>
    <row r="274" spans="1:8" x14ac:dyDescent="0.3">
      <c r="A274">
        <v>142</v>
      </c>
      <c r="B274" t="s">
        <v>2</v>
      </c>
      <c r="C274">
        <v>0</v>
      </c>
      <c r="D274">
        <v>410.77</v>
      </c>
      <c r="E274" s="8">
        <v>45802</v>
      </c>
      <c r="F274" t="s">
        <v>568</v>
      </c>
      <c r="G274">
        <v>151</v>
      </c>
      <c r="H274" t="s">
        <v>11</v>
      </c>
    </row>
    <row r="275" spans="1:8" x14ac:dyDescent="0.3">
      <c r="A275">
        <v>143</v>
      </c>
      <c r="B275" t="s">
        <v>2</v>
      </c>
      <c r="C275">
        <v>0</v>
      </c>
      <c r="D275">
        <v>324.41000000000003</v>
      </c>
      <c r="E275" s="8">
        <v>45824</v>
      </c>
      <c r="F275" s="8" t="s">
        <v>567</v>
      </c>
      <c r="G275">
        <v>956</v>
      </c>
      <c r="H275" t="s">
        <v>12</v>
      </c>
    </row>
    <row r="276" spans="1:8" x14ac:dyDescent="0.3">
      <c r="A276">
        <v>144</v>
      </c>
      <c r="B276" t="s">
        <v>3</v>
      </c>
      <c r="C276">
        <v>0</v>
      </c>
      <c r="D276">
        <v>296.58999999999997</v>
      </c>
      <c r="E276" s="8">
        <v>45767</v>
      </c>
      <c r="F276" s="8" t="s">
        <v>566</v>
      </c>
      <c r="G276">
        <v>961</v>
      </c>
      <c r="H276" t="s">
        <v>7</v>
      </c>
    </row>
    <row r="277" spans="1:8" x14ac:dyDescent="0.3">
      <c r="A277">
        <v>145</v>
      </c>
      <c r="B277" t="s">
        <v>2</v>
      </c>
      <c r="C277">
        <v>0</v>
      </c>
      <c r="D277">
        <v>391.58</v>
      </c>
      <c r="E277" s="8">
        <v>45797</v>
      </c>
      <c r="F277" t="s">
        <v>568</v>
      </c>
      <c r="G277">
        <v>135</v>
      </c>
      <c r="H277" t="s">
        <v>8</v>
      </c>
    </row>
    <row r="278" spans="1:8" x14ac:dyDescent="0.3">
      <c r="A278">
        <v>146</v>
      </c>
      <c r="B278" t="s">
        <v>2</v>
      </c>
      <c r="C278">
        <v>0</v>
      </c>
      <c r="D278">
        <v>310.87</v>
      </c>
      <c r="E278" s="8">
        <v>45762</v>
      </c>
      <c r="F278" s="8" t="s">
        <v>566</v>
      </c>
      <c r="G278">
        <v>420</v>
      </c>
      <c r="H278" t="s">
        <v>7</v>
      </c>
    </row>
    <row r="279" spans="1:8" x14ac:dyDescent="0.3">
      <c r="A279">
        <v>147</v>
      </c>
      <c r="B279" t="s">
        <v>2</v>
      </c>
      <c r="C279">
        <v>0</v>
      </c>
      <c r="D279">
        <v>336.73</v>
      </c>
      <c r="E279" s="8">
        <v>45794</v>
      </c>
      <c r="F279" t="s">
        <v>568</v>
      </c>
      <c r="G279">
        <v>386</v>
      </c>
      <c r="H279" t="s">
        <v>8</v>
      </c>
    </row>
    <row r="280" spans="1:8" x14ac:dyDescent="0.3">
      <c r="A280">
        <v>15</v>
      </c>
      <c r="B280" t="s">
        <v>2</v>
      </c>
      <c r="C280">
        <v>0</v>
      </c>
      <c r="D280">
        <v>421.64</v>
      </c>
      <c r="E280" s="8">
        <v>45797</v>
      </c>
      <c r="F280" t="s">
        <v>568</v>
      </c>
      <c r="G280">
        <v>33</v>
      </c>
      <c r="H280" t="s">
        <v>9</v>
      </c>
    </row>
    <row r="281" spans="1:8" x14ac:dyDescent="0.3">
      <c r="A281">
        <v>151</v>
      </c>
      <c r="B281" t="s">
        <v>2</v>
      </c>
      <c r="C281">
        <v>0</v>
      </c>
      <c r="D281">
        <v>396.18</v>
      </c>
      <c r="E281" s="8">
        <v>45761</v>
      </c>
      <c r="F281" s="8" t="s">
        <v>566</v>
      </c>
      <c r="G281">
        <v>818</v>
      </c>
      <c r="H281" t="s">
        <v>8</v>
      </c>
    </row>
    <row r="282" spans="1:8" x14ac:dyDescent="0.3">
      <c r="A282">
        <v>152</v>
      </c>
      <c r="B282" t="s">
        <v>3</v>
      </c>
      <c r="C282">
        <v>0</v>
      </c>
      <c r="D282">
        <v>422.84</v>
      </c>
      <c r="E282" s="8">
        <v>45752</v>
      </c>
      <c r="F282" s="8" t="s">
        <v>566</v>
      </c>
      <c r="G282">
        <v>759</v>
      </c>
      <c r="H282" t="s">
        <v>8</v>
      </c>
    </row>
    <row r="283" spans="1:8" x14ac:dyDescent="0.3">
      <c r="A283">
        <v>154</v>
      </c>
      <c r="B283" t="s">
        <v>2</v>
      </c>
      <c r="C283">
        <v>0</v>
      </c>
      <c r="D283">
        <v>448.34</v>
      </c>
      <c r="E283" s="8">
        <v>45769</v>
      </c>
      <c r="F283" s="8" t="s">
        <v>566</v>
      </c>
      <c r="G283">
        <v>551</v>
      </c>
      <c r="H283" t="s">
        <v>8</v>
      </c>
    </row>
    <row r="284" spans="1:8" x14ac:dyDescent="0.3">
      <c r="A284">
        <v>155</v>
      </c>
      <c r="B284" t="s">
        <v>2</v>
      </c>
      <c r="C284">
        <v>1</v>
      </c>
      <c r="D284">
        <v>336.34</v>
      </c>
      <c r="E284" s="8">
        <v>45753</v>
      </c>
      <c r="F284" s="8" t="s">
        <v>566</v>
      </c>
      <c r="G284">
        <v>516</v>
      </c>
      <c r="H284" t="s">
        <v>7</v>
      </c>
    </row>
    <row r="285" spans="1:8" x14ac:dyDescent="0.3">
      <c r="A285">
        <v>156</v>
      </c>
      <c r="B285" t="s">
        <v>2</v>
      </c>
      <c r="C285">
        <v>0</v>
      </c>
      <c r="D285">
        <v>364.16</v>
      </c>
      <c r="E285" s="8">
        <v>45801</v>
      </c>
      <c r="F285" t="s">
        <v>568</v>
      </c>
      <c r="G285">
        <v>819</v>
      </c>
      <c r="H285" t="s">
        <v>9</v>
      </c>
    </row>
    <row r="286" spans="1:8" x14ac:dyDescent="0.3">
      <c r="A286">
        <v>158</v>
      </c>
      <c r="B286" t="s">
        <v>2</v>
      </c>
      <c r="C286">
        <v>0</v>
      </c>
      <c r="D286">
        <v>393.98</v>
      </c>
      <c r="E286" s="8">
        <v>45760</v>
      </c>
      <c r="F286" s="8" t="s">
        <v>566</v>
      </c>
      <c r="G286">
        <v>813</v>
      </c>
      <c r="H286" t="s">
        <v>7</v>
      </c>
    </row>
    <row r="287" spans="1:8" x14ac:dyDescent="0.3">
      <c r="A287">
        <v>160</v>
      </c>
      <c r="B287" t="s">
        <v>3</v>
      </c>
      <c r="C287">
        <v>0</v>
      </c>
      <c r="D287">
        <v>663.69</v>
      </c>
      <c r="E287" s="8">
        <v>45772</v>
      </c>
      <c r="F287" s="8" t="s">
        <v>566</v>
      </c>
      <c r="G287">
        <v>1</v>
      </c>
      <c r="H287" t="s">
        <v>8</v>
      </c>
    </row>
    <row r="288" spans="1:8" x14ac:dyDescent="0.3">
      <c r="A288">
        <v>161</v>
      </c>
      <c r="B288" t="s">
        <v>3</v>
      </c>
      <c r="C288">
        <v>0</v>
      </c>
      <c r="D288">
        <v>608.66999999999996</v>
      </c>
      <c r="E288" s="8">
        <v>45773</v>
      </c>
      <c r="F288" s="8" t="s">
        <v>566</v>
      </c>
      <c r="G288">
        <v>703</v>
      </c>
      <c r="H288" t="s">
        <v>7</v>
      </c>
    </row>
    <row r="289" spans="1:8" x14ac:dyDescent="0.3">
      <c r="A289">
        <v>163</v>
      </c>
      <c r="B289" t="s">
        <v>3</v>
      </c>
      <c r="C289">
        <v>0</v>
      </c>
      <c r="D289">
        <v>622.17999999999995</v>
      </c>
      <c r="E289" s="8">
        <v>45797</v>
      </c>
      <c r="F289" t="s">
        <v>568</v>
      </c>
      <c r="G289">
        <v>283</v>
      </c>
      <c r="H289" t="s">
        <v>8</v>
      </c>
    </row>
    <row r="290" spans="1:8" x14ac:dyDescent="0.3">
      <c r="A290">
        <v>164</v>
      </c>
      <c r="B290" t="s">
        <v>3</v>
      </c>
      <c r="C290">
        <v>0</v>
      </c>
      <c r="D290">
        <v>604.53</v>
      </c>
      <c r="E290" s="8">
        <v>45764</v>
      </c>
      <c r="F290" s="8" t="s">
        <v>566</v>
      </c>
      <c r="G290">
        <v>442</v>
      </c>
      <c r="H290" t="s">
        <v>7</v>
      </c>
    </row>
    <row r="291" spans="1:8" x14ac:dyDescent="0.3">
      <c r="A291">
        <v>165</v>
      </c>
      <c r="B291" t="s">
        <v>2</v>
      </c>
      <c r="C291">
        <v>0</v>
      </c>
      <c r="D291">
        <v>308.72000000000003</v>
      </c>
      <c r="E291" s="8">
        <v>45805</v>
      </c>
      <c r="F291" t="s">
        <v>568</v>
      </c>
      <c r="G291">
        <v>748</v>
      </c>
      <c r="H291" t="s">
        <v>10</v>
      </c>
    </row>
    <row r="292" spans="1:8" x14ac:dyDescent="0.3">
      <c r="A292">
        <v>166</v>
      </c>
      <c r="B292" t="s">
        <v>2</v>
      </c>
      <c r="C292">
        <v>0</v>
      </c>
      <c r="D292">
        <v>517.88</v>
      </c>
      <c r="E292" s="8">
        <v>45813</v>
      </c>
      <c r="F292" s="8" t="s">
        <v>567</v>
      </c>
      <c r="G292">
        <v>354</v>
      </c>
      <c r="H292" t="s">
        <v>7</v>
      </c>
    </row>
    <row r="293" spans="1:8" x14ac:dyDescent="0.3">
      <c r="A293">
        <v>167</v>
      </c>
      <c r="B293" t="s">
        <v>2</v>
      </c>
      <c r="C293">
        <v>0</v>
      </c>
      <c r="D293">
        <v>632.5</v>
      </c>
      <c r="E293" s="8">
        <v>45795</v>
      </c>
      <c r="F293" t="s">
        <v>568</v>
      </c>
      <c r="G293">
        <v>277</v>
      </c>
      <c r="H293" t="s">
        <v>9</v>
      </c>
    </row>
    <row r="294" spans="1:8" x14ac:dyDescent="0.3">
      <c r="A294">
        <v>168</v>
      </c>
      <c r="B294" t="s">
        <v>3</v>
      </c>
      <c r="C294">
        <v>0</v>
      </c>
      <c r="D294">
        <v>482.74</v>
      </c>
      <c r="E294" s="8">
        <v>45751</v>
      </c>
      <c r="F294" s="8" t="s">
        <v>566</v>
      </c>
      <c r="G294">
        <v>896</v>
      </c>
      <c r="H294" t="s">
        <v>12</v>
      </c>
    </row>
    <row r="295" spans="1:8" x14ac:dyDescent="0.3">
      <c r="A295">
        <v>17</v>
      </c>
      <c r="B295" t="s">
        <v>2</v>
      </c>
      <c r="C295">
        <v>0</v>
      </c>
      <c r="D295">
        <v>515.1</v>
      </c>
      <c r="E295" s="8">
        <v>45776</v>
      </c>
      <c r="F295" s="8" t="s">
        <v>566</v>
      </c>
      <c r="G295">
        <v>516</v>
      </c>
      <c r="H295" t="s">
        <v>7</v>
      </c>
    </row>
    <row r="296" spans="1:8" x14ac:dyDescent="0.3">
      <c r="A296">
        <v>171</v>
      </c>
      <c r="B296" t="s">
        <v>2</v>
      </c>
      <c r="C296">
        <v>0</v>
      </c>
      <c r="D296">
        <v>564.16999999999996</v>
      </c>
      <c r="E296" s="8">
        <v>45762</v>
      </c>
      <c r="F296" s="8" t="s">
        <v>566</v>
      </c>
      <c r="G296">
        <v>158</v>
      </c>
      <c r="H296" t="s">
        <v>10</v>
      </c>
    </row>
    <row r="297" spans="1:8" x14ac:dyDescent="0.3">
      <c r="A297">
        <v>172</v>
      </c>
      <c r="B297" t="s">
        <v>3</v>
      </c>
      <c r="C297">
        <v>1</v>
      </c>
      <c r="D297">
        <v>178.2</v>
      </c>
      <c r="E297" s="8">
        <v>45790</v>
      </c>
      <c r="F297" t="s">
        <v>568</v>
      </c>
      <c r="G297">
        <v>398</v>
      </c>
      <c r="H297" t="s">
        <v>11</v>
      </c>
    </row>
    <row r="298" spans="1:8" x14ac:dyDescent="0.3">
      <c r="A298">
        <v>173</v>
      </c>
      <c r="B298" t="s">
        <v>2</v>
      </c>
      <c r="C298">
        <v>0</v>
      </c>
      <c r="D298">
        <v>535.45000000000005</v>
      </c>
      <c r="E298" s="8">
        <v>45792</v>
      </c>
      <c r="F298" t="s">
        <v>568</v>
      </c>
      <c r="G298">
        <v>279</v>
      </c>
      <c r="H298" t="s">
        <v>8</v>
      </c>
    </row>
    <row r="299" spans="1:8" x14ac:dyDescent="0.3">
      <c r="A299">
        <v>175</v>
      </c>
      <c r="B299" t="s">
        <v>3</v>
      </c>
      <c r="C299">
        <v>0</v>
      </c>
      <c r="D299">
        <v>339.82</v>
      </c>
      <c r="E299" s="8">
        <v>45765</v>
      </c>
      <c r="F299" s="8" t="s">
        <v>566</v>
      </c>
      <c r="G299">
        <v>113</v>
      </c>
      <c r="H299" t="s">
        <v>7</v>
      </c>
    </row>
    <row r="300" spans="1:8" x14ac:dyDescent="0.3">
      <c r="A300">
        <v>179</v>
      </c>
      <c r="B300" t="s">
        <v>3</v>
      </c>
      <c r="C300">
        <v>0</v>
      </c>
      <c r="D300">
        <v>525.72</v>
      </c>
      <c r="E300" s="8">
        <v>45806</v>
      </c>
      <c r="F300" t="s">
        <v>568</v>
      </c>
      <c r="G300">
        <v>663</v>
      </c>
      <c r="H300" t="s">
        <v>10</v>
      </c>
    </row>
    <row r="301" spans="1:8" x14ac:dyDescent="0.3">
      <c r="A301">
        <v>180</v>
      </c>
      <c r="B301" t="s">
        <v>3</v>
      </c>
      <c r="C301">
        <v>0</v>
      </c>
      <c r="D301">
        <v>190.08</v>
      </c>
      <c r="E301" s="8">
        <v>45821</v>
      </c>
      <c r="F301" s="8" t="s">
        <v>567</v>
      </c>
      <c r="G301">
        <v>641</v>
      </c>
      <c r="H301" t="s">
        <v>11</v>
      </c>
    </row>
    <row r="302" spans="1:8" x14ac:dyDescent="0.3">
      <c r="A302">
        <v>181</v>
      </c>
      <c r="B302" t="s">
        <v>3</v>
      </c>
      <c r="C302">
        <v>0</v>
      </c>
      <c r="D302">
        <v>659.3</v>
      </c>
      <c r="E302" s="8">
        <v>45783</v>
      </c>
      <c r="F302" t="s">
        <v>568</v>
      </c>
      <c r="G302">
        <v>252</v>
      </c>
      <c r="H302" t="s">
        <v>9</v>
      </c>
    </row>
    <row r="303" spans="1:8" x14ac:dyDescent="0.3">
      <c r="A303">
        <v>183</v>
      </c>
      <c r="B303" t="s">
        <v>2</v>
      </c>
      <c r="C303">
        <v>0</v>
      </c>
      <c r="D303">
        <v>161.43</v>
      </c>
      <c r="E303" s="8">
        <v>45793</v>
      </c>
      <c r="F303" t="s">
        <v>568</v>
      </c>
      <c r="G303">
        <v>871</v>
      </c>
      <c r="H303" t="s">
        <v>10</v>
      </c>
    </row>
    <row r="304" spans="1:8" x14ac:dyDescent="0.3">
      <c r="A304">
        <v>184</v>
      </c>
      <c r="B304" t="s">
        <v>2</v>
      </c>
      <c r="C304">
        <v>0</v>
      </c>
      <c r="D304">
        <v>403.3</v>
      </c>
      <c r="E304" s="8">
        <v>45765</v>
      </c>
      <c r="F304" s="8" t="s">
        <v>566</v>
      </c>
      <c r="G304">
        <v>192</v>
      </c>
      <c r="H304" t="s">
        <v>11</v>
      </c>
    </row>
    <row r="305" spans="1:8" x14ac:dyDescent="0.3">
      <c r="A305">
        <v>188</v>
      </c>
      <c r="B305" t="s">
        <v>2</v>
      </c>
      <c r="C305">
        <v>0</v>
      </c>
      <c r="D305">
        <v>530.73</v>
      </c>
      <c r="E305" s="8">
        <v>45752</v>
      </c>
      <c r="F305" s="8" t="s">
        <v>566</v>
      </c>
      <c r="G305">
        <v>192</v>
      </c>
      <c r="H305" t="s">
        <v>11</v>
      </c>
    </row>
    <row r="306" spans="1:8" x14ac:dyDescent="0.3">
      <c r="A306">
        <v>189</v>
      </c>
      <c r="B306" t="s">
        <v>2</v>
      </c>
      <c r="C306">
        <v>0</v>
      </c>
      <c r="D306">
        <v>371.17</v>
      </c>
      <c r="E306" s="8">
        <v>45772</v>
      </c>
      <c r="F306" s="8" t="s">
        <v>566</v>
      </c>
      <c r="G306">
        <v>684</v>
      </c>
      <c r="H306" t="s">
        <v>10</v>
      </c>
    </row>
    <row r="307" spans="1:8" x14ac:dyDescent="0.3">
      <c r="A307">
        <v>190</v>
      </c>
      <c r="B307" t="s">
        <v>3</v>
      </c>
      <c r="C307">
        <v>0</v>
      </c>
      <c r="D307">
        <v>291.5</v>
      </c>
      <c r="E307" s="8">
        <v>45825</v>
      </c>
      <c r="F307" s="8" t="s">
        <v>567</v>
      </c>
      <c r="G307">
        <v>247</v>
      </c>
      <c r="H307" t="s">
        <v>10</v>
      </c>
    </row>
    <row r="308" spans="1:8" x14ac:dyDescent="0.3">
      <c r="A308">
        <v>191</v>
      </c>
      <c r="B308" t="s">
        <v>3</v>
      </c>
      <c r="C308">
        <v>0</v>
      </c>
      <c r="D308">
        <v>381.4</v>
      </c>
      <c r="E308" s="8">
        <v>45800</v>
      </c>
      <c r="F308" t="s">
        <v>568</v>
      </c>
      <c r="G308">
        <v>367</v>
      </c>
      <c r="H308" t="s">
        <v>10</v>
      </c>
    </row>
    <row r="309" spans="1:8" x14ac:dyDescent="0.3">
      <c r="A309">
        <v>193</v>
      </c>
      <c r="B309" t="s">
        <v>2</v>
      </c>
      <c r="C309">
        <v>0</v>
      </c>
      <c r="D309">
        <v>433.24</v>
      </c>
      <c r="E309" s="8">
        <v>45795</v>
      </c>
      <c r="F309" t="s">
        <v>568</v>
      </c>
      <c r="G309">
        <v>92</v>
      </c>
      <c r="H309" t="s">
        <v>9</v>
      </c>
    </row>
    <row r="310" spans="1:8" x14ac:dyDescent="0.3">
      <c r="A310">
        <v>195</v>
      </c>
      <c r="B310" t="s">
        <v>3</v>
      </c>
      <c r="C310">
        <v>0</v>
      </c>
      <c r="D310">
        <v>699.78</v>
      </c>
      <c r="E310" s="8">
        <v>45797</v>
      </c>
      <c r="F310" t="s">
        <v>568</v>
      </c>
      <c r="G310">
        <v>220</v>
      </c>
      <c r="H310" t="s">
        <v>7</v>
      </c>
    </row>
    <row r="311" spans="1:8" x14ac:dyDescent="0.3">
      <c r="A311">
        <v>198</v>
      </c>
      <c r="B311" t="s">
        <v>3</v>
      </c>
      <c r="C311">
        <v>0</v>
      </c>
      <c r="D311">
        <v>458.63</v>
      </c>
      <c r="E311" s="8">
        <v>45770</v>
      </c>
      <c r="F311" s="8" t="s">
        <v>566</v>
      </c>
      <c r="G311">
        <v>302</v>
      </c>
      <c r="H311" t="s">
        <v>7</v>
      </c>
    </row>
    <row r="312" spans="1:8" x14ac:dyDescent="0.3">
      <c r="A312">
        <v>199</v>
      </c>
      <c r="B312" t="s">
        <v>3</v>
      </c>
      <c r="C312">
        <v>1</v>
      </c>
      <c r="D312">
        <v>155.22999999999999</v>
      </c>
      <c r="E312" s="8">
        <v>45796</v>
      </c>
      <c r="F312" t="s">
        <v>568</v>
      </c>
      <c r="G312">
        <v>929</v>
      </c>
      <c r="H312" t="s">
        <v>10</v>
      </c>
    </row>
    <row r="313" spans="1:8" x14ac:dyDescent="0.3">
      <c r="A313">
        <v>2</v>
      </c>
      <c r="B313" t="s">
        <v>2</v>
      </c>
      <c r="C313">
        <v>0</v>
      </c>
      <c r="D313">
        <v>357.54</v>
      </c>
      <c r="E313" s="8">
        <v>45793</v>
      </c>
      <c r="F313" t="s">
        <v>568</v>
      </c>
      <c r="G313">
        <v>41</v>
      </c>
      <c r="H313" t="s">
        <v>7</v>
      </c>
    </row>
    <row r="314" spans="1:8" x14ac:dyDescent="0.3">
      <c r="A314">
        <v>20</v>
      </c>
      <c r="B314" t="s">
        <v>2</v>
      </c>
      <c r="C314">
        <v>0</v>
      </c>
      <c r="D314">
        <v>665.8</v>
      </c>
      <c r="E314" s="8">
        <v>45751</v>
      </c>
      <c r="F314" s="8" t="s">
        <v>566</v>
      </c>
      <c r="G314">
        <v>638</v>
      </c>
      <c r="H314" t="s">
        <v>8</v>
      </c>
    </row>
    <row r="315" spans="1:8" x14ac:dyDescent="0.3">
      <c r="A315">
        <v>200</v>
      </c>
      <c r="B315" t="s">
        <v>3</v>
      </c>
      <c r="C315">
        <v>0</v>
      </c>
      <c r="D315">
        <v>317.70999999999998</v>
      </c>
      <c r="E315" s="8">
        <v>45752</v>
      </c>
      <c r="F315" s="8" t="s">
        <v>566</v>
      </c>
      <c r="G315">
        <v>162</v>
      </c>
      <c r="H315" t="s">
        <v>7</v>
      </c>
    </row>
    <row r="316" spans="1:8" x14ac:dyDescent="0.3">
      <c r="A316">
        <v>201</v>
      </c>
      <c r="B316" t="s">
        <v>3</v>
      </c>
      <c r="C316">
        <v>0</v>
      </c>
      <c r="D316">
        <v>492.32</v>
      </c>
      <c r="E316" s="8">
        <v>45804</v>
      </c>
      <c r="F316" t="s">
        <v>568</v>
      </c>
      <c r="G316">
        <v>675</v>
      </c>
      <c r="H316" t="s">
        <v>9</v>
      </c>
    </row>
    <row r="317" spans="1:8" x14ac:dyDescent="0.3">
      <c r="A317">
        <v>202</v>
      </c>
      <c r="B317" t="s">
        <v>3</v>
      </c>
      <c r="C317">
        <v>0</v>
      </c>
      <c r="D317">
        <v>516.82000000000005</v>
      </c>
      <c r="E317" s="8">
        <v>45805</v>
      </c>
      <c r="F317" t="s">
        <v>568</v>
      </c>
      <c r="G317">
        <v>972</v>
      </c>
      <c r="H317" t="s">
        <v>8</v>
      </c>
    </row>
    <row r="318" spans="1:8" x14ac:dyDescent="0.3">
      <c r="A318">
        <v>204</v>
      </c>
      <c r="B318" t="s">
        <v>2</v>
      </c>
      <c r="C318">
        <v>0</v>
      </c>
      <c r="D318">
        <v>206.76</v>
      </c>
      <c r="E318" s="8">
        <v>45813</v>
      </c>
      <c r="F318" s="8" t="s">
        <v>567</v>
      </c>
      <c r="G318">
        <v>163</v>
      </c>
      <c r="H318" t="s">
        <v>9</v>
      </c>
    </row>
    <row r="319" spans="1:8" x14ac:dyDescent="0.3">
      <c r="A319">
        <v>207</v>
      </c>
      <c r="B319" t="s">
        <v>2</v>
      </c>
      <c r="C319">
        <v>0</v>
      </c>
      <c r="D319">
        <v>438.51</v>
      </c>
      <c r="E319" s="8">
        <v>45792</v>
      </c>
      <c r="F319" t="s">
        <v>568</v>
      </c>
      <c r="G319">
        <v>884</v>
      </c>
      <c r="H319" t="s">
        <v>11</v>
      </c>
    </row>
    <row r="320" spans="1:8" x14ac:dyDescent="0.3">
      <c r="A320">
        <v>209</v>
      </c>
      <c r="B320" t="s">
        <v>3</v>
      </c>
      <c r="C320">
        <v>0</v>
      </c>
      <c r="D320">
        <v>343.05</v>
      </c>
      <c r="E320" s="8">
        <v>45808</v>
      </c>
      <c r="F320" t="s">
        <v>568</v>
      </c>
      <c r="G320">
        <v>436</v>
      </c>
      <c r="H320" t="s">
        <v>7</v>
      </c>
    </row>
    <row r="321" spans="1:8" x14ac:dyDescent="0.3">
      <c r="A321">
        <v>21</v>
      </c>
      <c r="B321" t="s">
        <v>2</v>
      </c>
      <c r="C321">
        <v>0</v>
      </c>
      <c r="D321">
        <v>538.23</v>
      </c>
      <c r="E321" s="8">
        <v>45822</v>
      </c>
      <c r="F321" s="8" t="s">
        <v>567</v>
      </c>
      <c r="G321">
        <v>685</v>
      </c>
      <c r="H321" t="s">
        <v>11</v>
      </c>
    </row>
    <row r="322" spans="1:8" x14ac:dyDescent="0.3">
      <c r="A322">
        <v>210</v>
      </c>
      <c r="B322" t="s">
        <v>2</v>
      </c>
      <c r="C322">
        <v>0</v>
      </c>
      <c r="D322">
        <v>598.88</v>
      </c>
      <c r="E322" s="8">
        <v>45799</v>
      </c>
      <c r="F322" t="s">
        <v>568</v>
      </c>
      <c r="G322">
        <v>392</v>
      </c>
      <c r="H322" t="s">
        <v>10</v>
      </c>
    </row>
    <row r="323" spans="1:8" x14ac:dyDescent="0.3">
      <c r="A323">
        <v>211</v>
      </c>
      <c r="B323" t="s">
        <v>2</v>
      </c>
      <c r="C323">
        <v>1</v>
      </c>
      <c r="D323">
        <v>490.53</v>
      </c>
      <c r="E323" s="8">
        <v>45783</v>
      </c>
      <c r="F323" t="s">
        <v>568</v>
      </c>
      <c r="G323">
        <v>676</v>
      </c>
      <c r="H323" t="s">
        <v>12</v>
      </c>
    </row>
    <row r="324" spans="1:8" x14ac:dyDescent="0.3">
      <c r="A324">
        <v>212</v>
      </c>
      <c r="B324" t="s">
        <v>3</v>
      </c>
      <c r="C324">
        <v>0</v>
      </c>
      <c r="D324">
        <v>300.97000000000003</v>
      </c>
      <c r="E324" s="8">
        <v>45782</v>
      </c>
      <c r="F324" t="s">
        <v>568</v>
      </c>
      <c r="G324">
        <v>302</v>
      </c>
      <c r="H324" t="s">
        <v>7</v>
      </c>
    </row>
    <row r="325" spans="1:8" x14ac:dyDescent="0.3">
      <c r="A325">
        <v>214</v>
      </c>
      <c r="B325" t="s">
        <v>3</v>
      </c>
      <c r="C325">
        <v>0</v>
      </c>
      <c r="D325">
        <v>583.41999999999996</v>
      </c>
      <c r="E325" s="8">
        <v>45775</v>
      </c>
      <c r="F325" s="8" t="s">
        <v>566</v>
      </c>
      <c r="G325">
        <v>572</v>
      </c>
      <c r="H325" t="s">
        <v>10</v>
      </c>
    </row>
    <row r="326" spans="1:8" x14ac:dyDescent="0.3">
      <c r="A326">
        <v>215</v>
      </c>
      <c r="B326" t="s">
        <v>2</v>
      </c>
      <c r="C326">
        <v>1</v>
      </c>
      <c r="D326">
        <v>399.74</v>
      </c>
      <c r="E326" s="8">
        <v>45753</v>
      </c>
      <c r="F326" s="8" t="s">
        <v>566</v>
      </c>
      <c r="G326">
        <v>691</v>
      </c>
      <c r="H326" t="s">
        <v>9</v>
      </c>
    </row>
    <row r="327" spans="1:8" x14ac:dyDescent="0.3">
      <c r="A327">
        <v>216</v>
      </c>
      <c r="B327" t="s">
        <v>2</v>
      </c>
      <c r="C327">
        <v>0</v>
      </c>
      <c r="D327">
        <v>238.58</v>
      </c>
      <c r="E327" s="8">
        <v>45799</v>
      </c>
      <c r="F327" t="s">
        <v>568</v>
      </c>
      <c r="G327">
        <v>968</v>
      </c>
      <c r="H327" t="s">
        <v>9</v>
      </c>
    </row>
    <row r="328" spans="1:8" x14ac:dyDescent="0.3">
      <c r="A328">
        <v>217</v>
      </c>
      <c r="B328" t="s">
        <v>2</v>
      </c>
      <c r="C328">
        <v>0</v>
      </c>
      <c r="D328">
        <v>410.95</v>
      </c>
      <c r="E328" s="8">
        <v>45812</v>
      </c>
      <c r="F328" s="8" t="s">
        <v>567</v>
      </c>
      <c r="G328">
        <v>646</v>
      </c>
      <c r="H328" t="s">
        <v>11</v>
      </c>
    </row>
    <row r="329" spans="1:8" x14ac:dyDescent="0.3">
      <c r="A329">
        <v>220</v>
      </c>
      <c r="B329" t="s">
        <v>2</v>
      </c>
      <c r="C329">
        <v>0</v>
      </c>
      <c r="D329">
        <v>525.54999999999995</v>
      </c>
      <c r="E329" s="8">
        <v>45765</v>
      </c>
      <c r="F329" s="8" t="s">
        <v>566</v>
      </c>
      <c r="G329">
        <v>566</v>
      </c>
      <c r="H329" t="s">
        <v>9</v>
      </c>
    </row>
    <row r="330" spans="1:8" x14ac:dyDescent="0.3">
      <c r="A330">
        <v>221</v>
      </c>
      <c r="B330" t="s">
        <v>2</v>
      </c>
      <c r="C330">
        <v>0</v>
      </c>
      <c r="D330">
        <v>466.16</v>
      </c>
      <c r="E330" s="8">
        <v>45793</v>
      </c>
      <c r="F330" t="s">
        <v>568</v>
      </c>
      <c r="G330">
        <v>107</v>
      </c>
      <c r="H330" t="s">
        <v>7</v>
      </c>
    </row>
    <row r="331" spans="1:8" x14ac:dyDescent="0.3">
      <c r="A331">
        <v>222</v>
      </c>
      <c r="B331" t="s">
        <v>3</v>
      </c>
      <c r="C331">
        <v>0</v>
      </c>
      <c r="D331">
        <v>349.66</v>
      </c>
      <c r="E331" s="8">
        <v>45798</v>
      </c>
      <c r="F331" t="s">
        <v>568</v>
      </c>
      <c r="G331">
        <v>288</v>
      </c>
      <c r="H331" t="s">
        <v>9</v>
      </c>
    </row>
    <row r="332" spans="1:8" x14ac:dyDescent="0.3">
      <c r="A332">
        <v>224</v>
      </c>
      <c r="B332" t="s">
        <v>3</v>
      </c>
      <c r="C332">
        <v>0</v>
      </c>
      <c r="D332">
        <v>607.94000000000005</v>
      </c>
      <c r="E332" s="8">
        <v>45772</v>
      </c>
      <c r="F332" s="8" t="s">
        <v>566</v>
      </c>
      <c r="G332">
        <v>773</v>
      </c>
      <c r="H332" t="s">
        <v>11</v>
      </c>
    </row>
    <row r="333" spans="1:8" x14ac:dyDescent="0.3">
      <c r="A333">
        <v>225</v>
      </c>
      <c r="B333" t="s">
        <v>3</v>
      </c>
      <c r="C333">
        <v>0</v>
      </c>
      <c r="D333">
        <v>540.02</v>
      </c>
      <c r="E333" s="8">
        <v>45797</v>
      </c>
      <c r="F333" t="s">
        <v>568</v>
      </c>
      <c r="G333">
        <v>806</v>
      </c>
      <c r="H333" t="s">
        <v>9</v>
      </c>
    </row>
    <row r="334" spans="1:8" x14ac:dyDescent="0.3">
      <c r="A334">
        <v>226</v>
      </c>
      <c r="B334" t="s">
        <v>3</v>
      </c>
      <c r="C334">
        <v>0</v>
      </c>
      <c r="D334">
        <v>401.31</v>
      </c>
      <c r="E334" s="8">
        <v>45770</v>
      </c>
      <c r="F334" s="8" t="s">
        <v>566</v>
      </c>
      <c r="G334">
        <v>575</v>
      </c>
      <c r="H334" t="s">
        <v>10</v>
      </c>
    </row>
    <row r="335" spans="1:8" x14ac:dyDescent="0.3">
      <c r="A335">
        <v>229</v>
      </c>
      <c r="B335" t="s">
        <v>2</v>
      </c>
      <c r="C335">
        <v>0</v>
      </c>
      <c r="D335">
        <v>543.16999999999996</v>
      </c>
      <c r="E335" s="8">
        <v>45824</v>
      </c>
      <c r="F335" s="8" t="s">
        <v>567</v>
      </c>
      <c r="G335">
        <v>699</v>
      </c>
      <c r="H335" t="s">
        <v>10</v>
      </c>
    </row>
    <row r="336" spans="1:8" x14ac:dyDescent="0.3">
      <c r="A336">
        <v>23</v>
      </c>
      <c r="B336" t="s">
        <v>3</v>
      </c>
      <c r="C336">
        <v>0</v>
      </c>
      <c r="D336">
        <v>457.32</v>
      </c>
      <c r="E336" s="8">
        <v>45775</v>
      </c>
      <c r="F336" s="8" t="s">
        <v>566</v>
      </c>
      <c r="G336">
        <v>987</v>
      </c>
      <c r="H336" t="s">
        <v>12</v>
      </c>
    </row>
    <row r="337" spans="1:8" x14ac:dyDescent="0.3">
      <c r="A337">
        <v>230</v>
      </c>
      <c r="B337" t="s">
        <v>3</v>
      </c>
      <c r="C337">
        <v>0</v>
      </c>
      <c r="D337">
        <v>404.19</v>
      </c>
      <c r="E337" s="8">
        <v>45768</v>
      </c>
      <c r="F337" s="8" t="s">
        <v>566</v>
      </c>
      <c r="G337">
        <v>428</v>
      </c>
      <c r="H337" t="s">
        <v>11</v>
      </c>
    </row>
    <row r="338" spans="1:8" x14ac:dyDescent="0.3">
      <c r="A338">
        <v>231</v>
      </c>
      <c r="B338" t="s">
        <v>2</v>
      </c>
      <c r="C338">
        <v>0</v>
      </c>
      <c r="D338">
        <v>385.35</v>
      </c>
      <c r="E338" s="8">
        <v>45771</v>
      </c>
      <c r="F338" s="8" t="s">
        <v>566</v>
      </c>
      <c r="G338">
        <v>453</v>
      </c>
      <c r="H338" t="s">
        <v>8</v>
      </c>
    </row>
    <row r="339" spans="1:8" x14ac:dyDescent="0.3">
      <c r="A339">
        <v>232</v>
      </c>
      <c r="B339" t="s">
        <v>3</v>
      </c>
      <c r="C339">
        <v>0</v>
      </c>
      <c r="D339">
        <v>561.54999999999995</v>
      </c>
      <c r="E339" s="8">
        <v>45807</v>
      </c>
      <c r="F339" t="s">
        <v>568</v>
      </c>
      <c r="G339">
        <v>285</v>
      </c>
      <c r="H339" t="s">
        <v>8</v>
      </c>
    </row>
    <row r="340" spans="1:8" x14ac:dyDescent="0.3">
      <c r="A340">
        <v>233</v>
      </c>
      <c r="B340" t="s">
        <v>2</v>
      </c>
      <c r="C340">
        <v>0</v>
      </c>
      <c r="D340">
        <v>374.24</v>
      </c>
      <c r="E340" s="8">
        <v>45775</v>
      </c>
      <c r="F340" s="8" t="s">
        <v>566</v>
      </c>
      <c r="G340">
        <v>499</v>
      </c>
      <c r="H340" t="s">
        <v>8</v>
      </c>
    </row>
    <row r="341" spans="1:8" x14ac:dyDescent="0.3">
      <c r="A341">
        <v>234</v>
      </c>
      <c r="B341" t="s">
        <v>3</v>
      </c>
      <c r="C341">
        <v>0</v>
      </c>
      <c r="D341">
        <v>533.21</v>
      </c>
      <c r="E341" s="8">
        <v>45797</v>
      </c>
      <c r="F341" t="s">
        <v>568</v>
      </c>
      <c r="G341">
        <v>198</v>
      </c>
      <c r="H341" t="s">
        <v>7</v>
      </c>
    </row>
    <row r="342" spans="1:8" x14ac:dyDescent="0.3">
      <c r="A342">
        <v>235</v>
      </c>
      <c r="B342" t="s">
        <v>2</v>
      </c>
      <c r="C342">
        <v>0</v>
      </c>
      <c r="D342">
        <v>266.42</v>
      </c>
      <c r="E342" s="8">
        <v>45812</v>
      </c>
      <c r="F342" s="8" t="s">
        <v>567</v>
      </c>
      <c r="G342">
        <v>411</v>
      </c>
      <c r="H342" t="s">
        <v>7</v>
      </c>
    </row>
    <row r="343" spans="1:8" x14ac:dyDescent="0.3">
      <c r="A343">
        <v>237</v>
      </c>
      <c r="B343" t="s">
        <v>2</v>
      </c>
      <c r="C343">
        <v>0</v>
      </c>
      <c r="D343">
        <v>465.41</v>
      </c>
      <c r="E343" s="8">
        <v>45793</v>
      </c>
      <c r="F343" t="s">
        <v>568</v>
      </c>
      <c r="G343">
        <v>167</v>
      </c>
      <c r="H343" t="s">
        <v>8</v>
      </c>
    </row>
    <row r="344" spans="1:8" x14ac:dyDescent="0.3">
      <c r="A344">
        <v>238</v>
      </c>
      <c r="B344" t="s">
        <v>2</v>
      </c>
      <c r="C344">
        <v>0</v>
      </c>
      <c r="D344">
        <v>378.22</v>
      </c>
      <c r="E344" s="8">
        <v>45796</v>
      </c>
      <c r="F344" t="s">
        <v>568</v>
      </c>
      <c r="G344">
        <v>958</v>
      </c>
      <c r="H344" t="s">
        <v>7</v>
      </c>
    </row>
    <row r="345" spans="1:8" x14ac:dyDescent="0.3">
      <c r="A345">
        <v>239</v>
      </c>
      <c r="B345" t="s">
        <v>2</v>
      </c>
      <c r="C345">
        <v>0</v>
      </c>
      <c r="D345">
        <v>710.55</v>
      </c>
      <c r="E345" s="8">
        <v>45767</v>
      </c>
      <c r="F345" s="8" t="s">
        <v>566</v>
      </c>
      <c r="G345">
        <v>2</v>
      </c>
      <c r="H345" t="s">
        <v>8</v>
      </c>
    </row>
    <row r="346" spans="1:8" x14ac:dyDescent="0.3">
      <c r="A346">
        <v>24</v>
      </c>
      <c r="B346" t="s">
        <v>3</v>
      </c>
      <c r="C346">
        <v>1</v>
      </c>
      <c r="D346">
        <v>173.28</v>
      </c>
      <c r="E346" s="8">
        <v>45790</v>
      </c>
      <c r="F346" t="s">
        <v>568</v>
      </c>
      <c r="G346">
        <v>750</v>
      </c>
      <c r="H346" t="s">
        <v>11</v>
      </c>
    </row>
    <row r="347" spans="1:8" x14ac:dyDescent="0.3">
      <c r="A347">
        <v>240</v>
      </c>
      <c r="B347" t="s">
        <v>3</v>
      </c>
      <c r="C347">
        <v>0</v>
      </c>
      <c r="D347">
        <v>757.22</v>
      </c>
      <c r="E347" s="8">
        <v>45808</v>
      </c>
      <c r="F347" t="s">
        <v>568</v>
      </c>
      <c r="G347">
        <v>270</v>
      </c>
      <c r="H347" t="s">
        <v>7</v>
      </c>
    </row>
    <row r="348" spans="1:8" x14ac:dyDescent="0.3">
      <c r="A348">
        <v>241</v>
      </c>
      <c r="B348" t="s">
        <v>3</v>
      </c>
      <c r="C348">
        <v>0</v>
      </c>
      <c r="D348">
        <v>411.47</v>
      </c>
      <c r="E348" s="8">
        <v>45814</v>
      </c>
      <c r="F348" s="8" t="s">
        <v>567</v>
      </c>
      <c r="G348">
        <v>725</v>
      </c>
      <c r="H348" t="s">
        <v>11</v>
      </c>
    </row>
    <row r="349" spans="1:8" x14ac:dyDescent="0.3">
      <c r="A349">
        <v>242</v>
      </c>
      <c r="B349" t="s">
        <v>3</v>
      </c>
      <c r="C349">
        <v>0</v>
      </c>
      <c r="D349">
        <v>593.44000000000005</v>
      </c>
      <c r="E349" s="8">
        <v>45800</v>
      </c>
      <c r="F349" t="s">
        <v>568</v>
      </c>
      <c r="G349">
        <v>106</v>
      </c>
      <c r="H349" t="s">
        <v>7</v>
      </c>
    </row>
    <row r="350" spans="1:8" x14ac:dyDescent="0.3">
      <c r="A350">
        <v>245</v>
      </c>
      <c r="B350" t="s">
        <v>2</v>
      </c>
      <c r="C350">
        <v>0</v>
      </c>
      <c r="D350">
        <v>221.6</v>
      </c>
      <c r="E350" s="8">
        <v>45806</v>
      </c>
      <c r="F350" t="s">
        <v>568</v>
      </c>
      <c r="G350">
        <v>673</v>
      </c>
      <c r="H350" t="s">
        <v>7</v>
      </c>
    </row>
    <row r="351" spans="1:8" x14ac:dyDescent="0.3">
      <c r="A351">
        <v>247</v>
      </c>
      <c r="B351" t="s">
        <v>3</v>
      </c>
      <c r="C351">
        <v>0</v>
      </c>
      <c r="D351">
        <v>288.20999999999998</v>
      </c>
      <c r="E351" s="8">
        <v>45751</v>
      </c>
      <c r="F351" s="8" t="s">
        <v>566</v>
      </c>
      <c r="G351">
        <v>672</v>
      </c>
      <c r="H351" t="s">
        <v>7</v>
      </c>
    </row>
    <row r="352" spans="1:8" x14ac:dyDescent="0.3">
      <c r="A352">
        <v>248</v>
      </c>
      <c r="B352" t="s">
        <v>3</v>
      </c>
      <c r="C352">
        <v>0</v>
      </c>
      <c r="D352">
        <v>478.04</v>
      </c>
      <c r="E352" s="8">
        <v>45770</v>
      </c>
      <c r="F352" s="8" t="s">
        <v>566</v>
      </c>
      <c r="G352">
        <v>99</v>
      </c>
      <c r="H352" t="s">
        <v>11</v>
      </c>
    </row>
    <row r="353" spans="1:8" x14ac:dyDescent="0.3">
      <c r="A353">
        <v>250</v>
      </c>
      <c r="B353" t="s">
        <v>3</v>
      </c>
      <c r="C353">
        <v>0</v>
      </c>
      <c r="D353">
        <v>581.85</v>
      </c>
      <c r="E353" s="8">
        <v>45824</v>
      </c>
      <c r="F353" s="8" t="s">
        <v>567</v>
      </c>
      <c r="G353">
        <v>49</v>
      </c>
      <c r="H353" t="s">
        <v>10</v>
      </c>
    </row>
    <row r="354" spans="1:8" x14ac:dyDescent="0.3">
      <c r="A354">
        <v>251</v>
      </c>
      <c r="B354" t="s">
        <v>2</v>
      </c>
      <c r="C354">
        <v>1</v>
      </c>
      <c r="D354">
        <v>318.33999999999997</v>
      </c>
      <c r="E354" s="8">
        <v>45753</v>
      </c>
      <c r="F354" s="8" t="s">
        <v>566</v>
      </c>
      <c r="G354">
        <v>996</v>
      </c>
      <c r="H354" t="s">
        <v>7</v>
      </c>
    </row>
    <row r="355" spans="1:8" x14ac:dyDescent="0.3">
      <c r="A355">
        <v>252</v>
      </c>
      <c r="B355" t="s">
        <v>3</v>
      </c>
      <c r="C355">
        <v>0</v>
      </c>
      <c r="D355">
        <v>336.11</v>
      </c>
      <c r="E355" s="8">
        <v>45765</v>
      </c>
      <c r="F355" s="8" t="s">
        <v>566</v>
      </c>
      <c r="G355">
        <v>836</v>
      </c>
      <c r="H355" t="s">
        <v>7</v>
      </c>
    </row>
    <row r="356" spans="1:8" x14ac:dyDescent="0.3">
      <c r="A356">
        <v>253</v>
      </c>
      <c r="B356" t="s">
        <v>3</v>
      </c>
      <c r="C356">
        <v>0</v>
      </c>
      <c r="D356">
        <v>422.76</v>
      </c>
      <c r="E356" s="8">
        <v>45774</v>
      </c>
      <c r="F356" s="8" t="s">
        <v>566</v>
      </c>
      <c r="G356">
        <v>233</v>
      </c>
      <c r="H356" t="s">
        <v>8</v>
      </c>
    </row>
    <row r="357" spans="1:8" x14ac:dyDescent="0.3">
      <c r="A357">
        <v>255</v>
      </c>
      <c r="B357" t="s">
        <v>2</v>
      </c>
      <c r="C357">
        <v>0</v>
      </c>
      <c r="D357">
        <v>187.46</v>
      </c>
      <c r="E357" s="8">
        <v>45777</v>
      </c>
      <c r="F357" s="8" t="s">
        <v>566</v>
      </c>
      <c r="G357">
        <v>509</v>
      </c>
      <c r="H357" t="s">
        <v>10</v>
      </c>
    </row>
    <row r="358" spans="1:8" x14ac:dyDescent="0.3">
      <c r="A358">
        <v>256</v>
      </c>
      <c r="B358" t="s">
        <v>2</v>
      </c>
      <c r="C358">
        <v>0</v>
      </c>
      <c r="D358">
        <v>432.34</v>
      </c>
      <c r="E358" s="8">
        <v>45798</v>
      </c>
      <c r="F358" t="s">
        <v>568</v>
      </c>
      <c r="G358">
        <v>881</v>
      </c>
      <c r="H358" t="s">
        <v>12</v>
      </c>
    </row>
    <row r="359" spans="1:8" x14ac:dyDescent="0.3">
      <c r="A359">
        <v>258</v>
      </c>
      <c r="B359" t="s">
        <v>2</v>
      </c>
      <c r="C359">
        <v>0</v>
      </c>
      <c r="D359">
        <v>439.49</v>
      </c>
      <c r="E359" s="8">
        <v>45806</v>
      </c>
      <c r="F359" t="s">
        <v>568</v>
      </c>
      <c r="G359">
        <v>94</v>
      </c>
      <c r="H359" t="s">
        <v>8</v>
      </c>
    </row>
    <row r="360" spans="1:8" x14ac:dyDescent="0.3">
      <c r="A360">
        <v>259</v>
      </c>
      <c r="B360" t="s">
        <v>3</v>
      </c>
      <c r="C360">
        <v>1</v>
      </c>
      <c r="D360">
        <v>296.87</v>
      </c>
      <c r="E360" s="8">
        <v>45796</v>
      </c>
      <c r="F360" t="s">
        <v>568</v>
      </c>
      <c r="G360">
        <v>48</v>
      </c>
      <c r="H360" t="s">
        <v>7</v>
      </c>
    </row>
    <row r="361" spans="1:8" x14ac:dyDescent="0.3">
      <c r="A361">
        <v>260</v>
      </c>
      <c r="B361" t="s">
        <v>2</v>
      </c>
      <c r="C361">
        <v>0</v>
      </c>
      <c r="D361">
        <v>528.34</v>
      </c>
      <c r="E361" s="8">
        <v>45791</v>
      </c>
      <c r="F361" t="s">
        <v>568</v>
      </c>
      <c r="G361">
        <v>41</v>
      </c>
      <c r="H361" t="s">
        <v>7</v>
      </c>
    </row>
    <row r="362" spans="1:8" x14ac:dyDescent="0.3">
      <c r="A362">
        <v>262</v>
      </c>
      <c r="B362" t="s">
        <v>3</v>
      </c>
      <c r="C362">
        <v>0</v>
      </c>
      <c r="D362">
        <v>480.78</v>
      </c>
      <c r="E362" s="8">
        <v>45776</v>
      </c>
      <c r="F362" s="8" t="s">
        <v>566</v>
      </c>
      <c r="G362">
        <v>28</v>
      </c>
      <c r="H362" t="s">
        <v>11</v>
      </c>
    </row>
    <row r="363" spans="1:8" x14ac:dyDescent="0.3">
      <c r="A363">
        <v>264</v>
      </c>
      <c r="B363" t="s">
        <v>3</v>
      </c>
      <c r="C363">
        <v>0</v>
      </c>
      <c r="D363">
        <v>253.51</v>
      </c>
      <c r="E363" s="8">
        <v>45808</v>
      </c>
      <c r="F363" t="s">
        <v>568</v>
      </c>
      <c r="G363">
        <v>131</v>
      </c>
      <c r="H363" t="s">
        <v>7</v>
      </c>
    </row>
    <row r="364" spans="1:8" x14ac:dyDescent="0.3">
      <c r="A364">
        <v>265</v>
      </c>
      <c r="B364" t="s">
        <v>3</v>
      </c>
      <c r="C364">
        <v>0</v>
      </c>
      <c r="D364">
        <v>307.83</v>
      </c>
      <c r="E364" s="8">
        <v>45803</v>
      </c>
      <c r="F364" t="s">
        <v>568</v>
      </c>
      <c r="G364">
        <v>346</v>
      </c>
      <c r="H364" t="s">
        <v>9</v>
      </c>
    </row>
    <row r="365" spans="1:8" x14ac:dyDescent="0.3">
      <c r="A365">
        <v>269</v>
      </c>
      <c r="B365" t="s">
        <v>3</v>
      </c>
      <c r="C365">
        <v>0</v>
      </c>
      <c r="D365">
        <v>503.93</v>
      </c>
      <c r="E365" s="8">
        <v>45801</v>
      </c>
      <c r="F365" t="s">
        <v>568</v>
      </c>
      <c r="G365">
        <v>298</v>
      </c>
      <c r="H365" t="s">
        <v>7</v>
      </c>
    </row>
    <row r="366" spans="1:8" x14ac:dyDescent="0.3">
      <c r="A366">
        <v>272</v>
      </c>
      <c r="B366" t="s">
        <v>3</v>
      </c>
      <c r="C366">
        <v>0</v>
      </c>
      <c r="D366">
        <v>487.95</v>
      </c>
      <c r="E366" s="8">
        <v>45782</v>
      </c>
      <c r="F366" t="s">
        <v>568</v>
      </c>
      <c r="G366">
        <v>718</v>
      </c>
      <c r="H366" t="s">
        <v>9</v>
      </c>
    </row>
    <row r="367" spans="1:8" x14ac:dyDescent="0.3">
      <c r="A367">
        <v>273</v>
      </c>
      <c r="B367" t="s">
        <v>3</v>
      </c>
      <c r="C367">
        <v>0</v>
      </c>
      <c r="D367">
        <v>489.56</v>
      </c>
      <c r="E367" s="8">
        <v>45824</v>
      </c>
      <c r="F367" s="8" t="s">
        <v>567</v>
      </c>
      <c r="G367">
        <v>682</v>
      </c>
      <c r="H367" t="s">
        <v>12</v>
      </c>
    </row>
    <row r="368" spans="1:8" x14ac:dyDescent="0.3">
      <c r="A368">
        <v>274</v>
      </c>
      <c r="B368" t="s">
        <v>2</v>
      </c>
      <c r="C368">
        <v>0</v>
      </c>
      <c r="D368">
        <v>157.15</v>
      </c>
      <c r="E368" s="8">
        <v>45766</v>
      </c>
      <c r="F368" s="8" t="s">
        <v>566</v>
      </c>
      <c r="G368">
        <v>349</v>
      </c>
      <c r="H368" t="s">
        <v>7</v>
      </c>
    </row>
    <row r="369" spans="1:8" x14ac:dyDescent="0.3">
      <c r="A369">
        <v>275</v>
      </c>
      <c r="B369" t="s">
        <v>3</v>
      </c>
      <c r="C369">
        <v>0</v>
      </c>
      <c r="D369">
        <v>391.32</v>
      </c>
      <c r="E369" s="8">
        <v>45765</v>
      </c>
      <c r="F369" s="8" t="s">
        <v>566</v>
      </c>
      <c r="G369">
        <v>58</v>
      </c>
      <c r="H369" t="s">
        <v>7</v>
      </c>
    </row>
    <row r="370" spans="1:8" x14ac:dyDescent="0.3">
      <c r="A370">
        <v>276</v>
      </c>
      <c r="B370" t="s">
        <v>3</v>
      </c>
      <c r="C370">
        <v>0</v>
      </c>
      <c r="D370">
        <v>395.94</v>
      </c>
      <c r="E370" s="8">
        <v>45812</v>
      </c>
      <c r="F370" s="8" t="s">
        <v>567</v>
      </c>
      <c r="G370">
        <v>420</v>
      </c>
      <c r="H370" t="s">
        <v>7</v>
      </c>
    </row>
    <row r="371" spans="1:8" x14ac:dyDescent="0.3">
      <c r="A371">
        <v>277</v>
      </c>
      <c r="B371" t="s">
        <v>2</v>
      </c>
      <c r="C371">
        <v>0</v>
      </c>
      <c r="D371">
        <v>534.45000000000005</v>
      </c>
      <c r="E371" s="8">
        <v>45803</v>
      </c>
      <c r="F371" t="s">
        <v>568</v>
      </c>
      <c r="G371">
        <v>791</v>
      </c>
      <c r="H371" t="s">
        <v>12</v>
      </c>
    </row>
    <row r="372" spans="1:8" x14ac:dyDescent="0.3">
      <c r="A372">
        <v>278</v>
      </c>
      <c r="B372" t="s">
        <v>3</v>
      </c>
      <c r="C372">
        <v>0</v>
      </c>
      <c r="D372">
        <v>295.83</v>
      </c>
      <c r="E372" s="8">
        <v>45821</v>
      </c>
      <c r="F372" s="8" t="s">
        <v>567</v>
      </c>
      <c r="G372">
        <v>626</v>
      </c>
      <c r="H372" t="s">
        <v>9</v>
      </c>
    </row>
    <row r="373" spans="1:8" x14ac:dyDescent="0.3">
      <c r="A373">
        <v>279</v>
      </c>
      <c r="B373" t="s">
        <v>2</v>
      </c>
      <c r="C373">
        <v>0</v>
      </c>
      <c r="D373">
        <v>330.38</v>
      </c>
      <c r="E373" s="8">
        <v>45824</v>
      </c>
      <c r="F373" s="8" t="s">
        <v>567</v>
      </c>
      <c r="G373">
        <v>852</v>
      </c>
      <c r="H373" t="s">
        <v>12</v>
      </c>
    </row>
    <row r="374" spans="1:8" x14ac:dyDescent="0.3">
      <c r="A374">
        <v>281</v>
      </c>
      <c r="B374" t="s">
        <v>3</v>
      </c>
      <c r="C374">
        <v>1</v>
      </c>
      <c r="D374">
        <v>375.37</v>
      </c>
      <c r="E374" s="8">
        <v>45794</v>
      </c>
      <c r="F374" t="s">
        <v>568</v>
      </c>
      <c r="G374">
        <v>730</v>
      </c>
      <c r="H374" t="s">
        <v>11</v>
      </c>
    </row>
    <row r="375" spans="1:8" x14ac:dyDescent="0.3">
      <c r="A375">
        <v>282</v>
      </c>
      <c r="B375" t="s">
        <v>3</v>
      </c>
      <c r="C375">
        <v>0</v>
      </c>
      <c r="D375">
        <v>391.74</v>
      </c>
      <c r="E375" s="8">
        <v>45803</v>
      </c>
      <c r="F375" t="s">
        <v>568</v>
      </c>
      <c r="G375">
        <v>736</v>
      </c>
      <c r="H375" t="s">
        <v>7</v>
      </c>
    </row>
    <row r="376" spans="1:8" x14ac:dyDescent="0.3">
      <c r="A376">
        <v>284</v>
      </c>
      <c r="B376" t="s">
        <v>3</v>
      </c>
      <c r="C376">
        <v>0</v>
      </c>
      <c r="D376">
        <v>362.54</v>
      </c>
      <c r="E376" s="8">
        <v>45776</v>
      </c>
      <c r="F376" s="8" t="s">
        <v>566</v>
      </c>
      <c r="G376">
        <v>880</v>
      </c>
      <c r="H376" t="s">
        <v>12</v>
      </c>
    </row>
    <row r="377" spans="1:8" x14ac:dyDescent="0.3">
      <c r="A377">
        <v>285</v>
      </c>
      <c r="B377" t="s">
        <v>3</v>
      </c>
      <c r="C377">
        <v>0</v>
      </c>
      <c r="D377">
        <v>448.77</v>
      </c>
      <c r="E377" s="8">
        <v>45806</v>
      </c>
      <c r="F377" t="s">
        <v>568</v>
      </c>
      <c r="G377">
        <v>415</v>
      </c>
      <c r="H377" t="s">
        <v>8</v>
      </c>
    </row>
    <row r="378" spans="1:8" x14ac:dyDescent="0.3">
      <c r="A378">
        <v>286</v>
      </c>
      <c r="B378" t="s">
        <v>3</v>
      </c>
      <c r="C378">
        <v>1</v>
      </c>
      <c r="D378">
        <v>348.33</v>
      </c>
      <c r="E378" s="8">
        <v>45795</v>
      </c>
      <c r="F378" t="s">
        <v>568</v>
      </c>
      <c r="G378">
        <v>184</v>
      </c>
      <c r="H378" t="s">
        <v>8</v>
      </c>
    </row>
    <row r="379" spans="1:8" x14ac:dyDescent="0.3">
      <c r="A379">
        <v>287</v>
      </c>
      <c r="B379" t="s">
        <v>2</v>
      </c>
      <c r="C379">
        <v>0</v>
      </c>
      <c r="D379">
        <v>578.5</v>
      </c>
      <c r="E379" s="8">
        <v>45792</v>
      </c>
      <c r="F379" t="s">
        <v>568</v>
      </c>
      <c r="G379">
        <v>556</v>
      </c>
      <c r="H379" t="s">
        <v>9</v>
      </c>
    </row>
    <row r="380" spans="1:8" x14ac:dyDescent="0.3">
      <c r="A380">
        <v>288</v>
      </c>
      <c r="B380" t="s">
        <v>3</v>
      </c>
      <c r="C380">
        <v>0</v>
      </c>
      <c r="D380">
        <v>732.73</v>
      </c>
      <c r="E380" s="8">
        <v>45752</v>
      </c>
      <c r="F380" s="8" t="s">
        <v>566</v>
      </c>
      <c r="G380">
        <v>750</v>
      </c>
      <c r="H380" t="s">
        <v>11</v>
      </c>
    </row>
    <row r="381" spans="1:8" x14ac:dyDescent="0.3">
      <c r="A381">
        <v>289</v>
      </c>
      <c r="B381" t="s">
        <v>3</v>
      </c>
      <c r="C381">
        <v>1</v>
      </c>
      <c r="D381">
        <v>268.8</v>
      </c>
      <c r="E381" s="8">
        <v>45795</v>
      </c>
      <c r="F381" t="s">
        <v>568</v>
      </c>
      <c r="G381">
        <v>190</v>
      </c>
      <c r="H381" t="s">
        <v>9</v>
      </c>
    </row>
    <row r="382" spans="1:8" x14ac:dyDescent="0.3">
      <c r="A382">
        <v>29</v>
      </c>
      <c r="B382" t="s">
        <v>3</v>
      </c>
      <c r="C382">
        <v>0</v>
      </c>
      <c r="D382">
        <v>445.12</v>
      </c>
      <c r="E382" s="8">
        <v>45772</v>
      </c>
      <c r="F382" s="8" t="s">
        <v>566</v>
      </c>
      <c r="G382">
        <v>208</v>
      </c>
      <c r="H382" t="s">
        <v>8</v>
      </c>
    </row>
    <row r="383" spans="1:8" x14ac:dyDescent="0.3">
      <c r="A383">
        <v>291</v>
      </c>
      <c r="B383" t="s">
        <v>2</v>
      </c>
      <c r="C383">
        <v>0</v>
      </c>
      <c r="D383">
        <v>696.69</v>
      </c>
      <c r="E383" s="8">
        <v>45777</v>
      </c>
      <c r="F383" s="8" t="s">
        <v>566</v>
      </c>
      <c r="G383">
        <v>379</v>
      </c>
      <c r="H383" t="s">
        <v>7</v>
      </c>
    </row>
    <row r="384" spans="1:8" x14ac:dyDescent="0.3">
      <c r="A384">
        <v>292</v>
      </c>
      <c r="B384" t="s">
        <v>3</v>
      </c>
      <c r="C384">
        <v>0</v>
      </c>
      <c r="D384">
        <v>317.3</v>
      </c>
      <c r="E384" s="8">
        <v>45777</v>
      </c>
      <c r="F384" s="8" t="s">
        <v>566</v>
      </c>
      <c r="G384">
        <v>103</v>
      </c>
      <c r="H384" t="s">
        <v>8</v>
      </c>
    </row>
    <row r="385" spans="1:8" x14ac:dyDescent="0.3">
      <c r="A385">
        <v>293</v>
      </c>
      <c r="B385" t="s">
        <v>2</v>
      </c>
      <c r="C385">
        <v>0</v>
      </c>
      <c r="D385">
        <v>391.81</v>
      </c>
      <c r="E385" s="8">
        <v>45752</v>
      </c>
      <c r="F385" s="8" t="s">
        <v>566</v>
      </c>
      <c r="G385">
        <v>373</v>
      </c>
      <c r="H385" t="s">
        <v>11</v>
      </c>
    </row>
    <row r="386" spans="1:8" x14ac:dyDescent="0.3">
      <c r="A386">
        <v>294</v>
      </c>
      <c r="B386" t="s">
        <v>2</v>
      </c>
      <c r="C386">
        <v>0</v>
      </c>
      <c r="D386">
        <v>290.39</v>
      </c>
      <c r="E386" s="8">
        <v>45825</v>
      </c>
      <c r="F386" s="8" t="s">
        <v>567</v>
      </c>
      <c r="G386">
        <v>489</v>
      </c>
      <c r="H386" t="s">
        <v>7</v>
      </c>
    </row>
    <row r="387" spans="1:8" x14ac:dyDescent="0.3">
      <c r="A387">
        <v>295</v>
      </c>
      <c r="B387" t="s">
        <v>3</v>
      </c>
      <c r="C387">
        <v>1</v>
      </c>
      <c r="D387">
        <v>408.14</v>
      </c>
      <c r="E387" s="8">
        <v>45790</v>
      </c>
      <c r="F387" t="s">
        <v>568</v>
      </c>
      <c r="G387">
        <v>720</v>
      </c>
      <c r="H387" t="s">
        <v>11</v>
      </c>
    </row>
    <row r="388" spans="1:8" x14ac:dyDescent="0.3">
      <c r="A388">
        <v>297</v>
      </c>
      <c r="B388" t="s">
        <v>3</v>
      </c>
      <c r="C388">
        <v>1</v>
      </c>
      <c r="D388">
        <v>275.27</v>
      </c>
      <c r="E388" s="8">
        <v>45794</v>
      </c>
      <c r="F388" t="s">
        <v>568</v>
      </c>
      <c r="G388">
        <v>235</v>
      </c>
      <c r="H388" t="s">
        <v>9</v>
      </c>
    </row>
    <row r="389" spans="1:8" x14ac:dyDescent="0.3">
      <c r="A389">
        <v>298</v>
      </c>
      <c r="B389" t="s">
        <v>2</v>
      </c>
      <c r="C389">
        <v>0</v>
      </c>
      <c r="D389">
        <v>376.14</v>
      </c>
      <c r="E389" s="8">
        <v>45795</v>
      </c>
      <c r="F389" t="s">
        <v>568</v>
      </c>
      <c r="G389">
        <v>401</v>
      </c>
      <c r="H389" t="s">
        <v>8</v>
      </c>
    </row>
    <row r="390" spans="1:8" x14ac:dyDescent="0.3">
      <c r="A390">
        <v>299</v>
      </c>
      <c r="B390" t="s">
        <v>3</v>
      </c>
      <c r="C390">
        <v>1</v>
      </c>
      <c r="D390">
        <v>489.11</v>
      </c>
      <c r="E390" s="8">
        <v>45790</v>
      </c>
      <c r="F390" t="s">
        <v>568</v>
      </c>
      <c r="G390">
        <v>403</v>
      </c>
      <c r="H390" t="s">
        <v>7</v>
      </c>
    </row>
    <row r="391" spans="1:8" x14ac:dyDescent="0.3">
      <c r="A391">
        <v>3</v>
      </c>
      <c r="B391" t="s">
        <v>3</v>
      </c>
      <c r="C391">
        <v>0</v>
      </c>
      <c r="D391">
        <v>337.56</v>
      </c>
      <c r="E391" s="8">
        <v>45769</v>
      </c>
      <c r="F391" s="8" t="s">
        <v>566</v>
      </c>
      <c r="G391">
        <v>139</v>
      </c>
      <c r="H391" t="s">
        <v>7</v>
      </c>
    </row>
    <row r="392" spans="1:8" x14ac:dyDescent="0.3">
      <c r="A392">
        <v>301</v>
      </c>
      <c r="B392" t="s">
        <v>3</v>
      </c>
      <c r="C392">
        <v>1</v>
      </c>
      <c r="D392">
        <v>241.1</v>
      </c>
      <c r="E392" s="8">
        <v>45794</v>
      </c>
      <c r="F392" t="s">
        <v>568</v>
      </c>
      <c r="G392">
        <v>825</v>
      </c>
      <c r="H392" t="s">
        <v>10</v>
      </c>
    </row>
    <row r="393" spans="1:8" x14ac:dyDescent="0.3">
      <c r="A393">
        <v>303</v>
      </c>
      <c r="B393" t="s">
        <v>3</v>
      </c>
      <c r="C393">
        <v>0</v>
      </c>
      <c r="D393">
        <v>635.02</v>
      </c>
      <c r="E393" s="8">
        <v>45783</v>
      </c>
      <c r="F393" t="s">
        <v>568</v>
      </c>
      <c r="G393">
        <v>396</v>
      </c>
      <c r="H393" t="s">
        <v>10</v>
      </c>
    </row>
    <row r="394" spans="1:8" x14ac:dyDescent="0.3">
      <c r="A394">
        <v>305</v>
      </c>
      <c r="B394" t="s">
        <v>2</v>
      </c>
      <c r="C394">
        <v>0</v>
      </c>
      <c r="D394">
        <v>541.03</v>
      </c>
      <c r="E394" s="8">
        <v>45775</v>
      </c>
      <c r="F394" s="8" t="s">
        <v>566</v>
      </c>
      <c r="G394">
        <v>878</v>
      </c>
      <c r="H394" t="s">
        <v>7</v>
      </c>
    </row>
    <row r="395" spans="1:8" x14ac:dyDescent="0.3">
      <c r="A395">
        <v>306</v>
      </c>
      <c r="B395" t="s">
        <v>2</v>
      </c>
      <c r="C395">
        <v>0</v>
      </c>
      <c r="D395">
        <v>257.31</v>
      </c>
      <c r="E395" s="8">
        <v>45773</v>
      </c>
      <c r="F395" s="8" t="s">
        <v>566</v>
      </c>
      <c r="G395">
        <v>566</v>
      </c>
      <c r="H395" t="s">
        <v>9</v>
      </c>
    </row>
    <row r="396" spans="1:8" x14ac:dyDescent="0.3">
      <c r="A396">
        <v>307</v>
      </c>
      <c r="B396" t="s">
        <v>2</v>
      </c>
      <c r="C396">
        <v>0</v>
      </c>
      <c r="D396">
        <v>332</v>
      </c>
      <c r="E396" s="8">
        <v>45798</v>
      </c>
      <c r="F396" t="s">
        <v>568</v>
      </c>
      <c r="G396">
        <v>567</v>
      </c>
      <c r="H396" t="s">
        <v>10</v>
      </c>
    </row>
    <row r="397" spans="1:8" x14ac:dyDescent="0.3">
      <c r="A397">
        <v>309</v>
      </c>
      <c r="B397" t="s">
        <v>3</v>
      </c>
      <c r="C397">
        <v>0</v>
      </c>
      <c r="D397">
        <v>414.75</v>
      </c>
      <c r="E397" s="8">
        <v>45802</v>
      </c>
      <c r="F397" t="s">
        <v>568</v>
      </c>
      <c r="G397">
        <v>365</v>
      </c>
      <c r="H397" t="s">
        <v>8</v>
      </c>
    </row>
    <row r="398" spans="1:8" x14ac:dyDescent="0.3">
      <c r="A398">
        <v>31</v>
      </c>
      <c r="B398" t="s">
        <v>3</v>
      </c>
      <c r="C398">
        <v>0</v>
      </c>
      <c r="D398">
        <v>292.77999999999997</v>
      </c>
      <c r="E398" s="8">
        <v>45797</v>
      </c>
      <c r="F398" t="s">
        <v>568</v>
      </c>
      <c r="G398">
        <v>776</v>
      </c>
      <c r="H398" t="s">
        <v>12</v>
      </c>
    </row>
    <row r="399" spans="1:8" x14ac:dyDescent="0.3">
      <c r="A399">
        <v>310</v>
      </c>
      <c r="B399" t="s">
        <v>2</v>
      </c>
      <c r="C399">
        <v>0</v>
      </c>
      <c r="D399">
        <v>503.83</v>
      </c>
      <c r="E399" s="8">
        <v>45765</v>
      </c>
      <c r="F399" s="8" t="s">
        <v>566</v>
      </c>
      <c r="G399">
        <v>726</v>
      </c>
      <c r="H399" t="s">
        <v>7</v>
      </c>
    </row>
    <row r="400" spans="1:8" x14ac:dyDescent="0.3">
      <c r="A400">
        <v>312</v>
      </c>
      <c r="B400" t="s">
        <v>2</v>
      </c>
      <c r="C400">
        <v>0</v>
      </c>
      <c r="D400">
        <v>509.07</v>
      </c>
      <c r="E400" s="8">
        <v>45808</v>
      </c>
      <c r="F400" t="s">
        <v>568</v>
      </c>
      <c r="G400">
        <v>72</v>
      </c>
      <c r="H400" t="s">
        <v>11</v>
      </c>
    </row>
    <row r="401" spans="1:8" x14ac:dyDescent="0.3">
      <c r="A401">
        <v>313</v>
      </c>
      <c r="B401" t="s">
        <v>3</v>
      </c>
      <c r="C401">
        <v>0</v>
      </c>
      <c r="D401">
        <v>712.86</v>
      </c>
      <c r="E401" s="8">
        <v>45814</v>
      </c>
      <c r="F401" s="8" t="s">
        <v>567</v>
      </c>
      <c r="G401">
        <v>271</v>
      </c>
      <c r="H401" t="s">
        <v>7</v>
      </c>
    </row>
    <row r="402" spans="1:8" x14ac:dyDescent="0.3">
      <c r="A402">
        <v>314</v>
      </c>
      <c r="B402" t="s">
        <v>2</v>
      </c>
      <c r="C402">
        <v>0</v>
      </c>
      <c r="D402">
        <v>446.09</v>
      </c>
      <c r="E402" s="8">
        <v>45795</v>
      </c>
      <c r="F402" t="s">
        <v>568</v>
      </c>
      <c r="G402">
        <v>377</v>
      </c>
      <c r="H402" t="s">
        <v>11</v>
      </c>
    </row>
    <row r="403" spans="1:8" x14ac:dyDescent="0.3">
      <c r="A403">
        <v>318</v>
      </c>
      <c r="B403" t="s">
        <v>2</v>
      </c>
      <c r="C403">
        <v>0</v>
      </c>
      <c r="D403">
        <v>376.3</v>
      </c>
      <c r="E403" s="8">
        <v>45764</v>
      </c>
      <c r="F403" s="8" t="s">
        <v>566</v>
      </c>
      <c r="G403">
        <v>681</v>
      </c>
      <c r="H403" t="s">
        <v>7</v>
      </c>
    </row>
    <row r="404" spans="1:8" x14ac:dyDescent="0.3">
      <c r="A404">
        <v>319</v>
      </c>
      <c r="B404" t="s">
        <v>3</v>
      </c>
      <c r="C404">
        <v>0</v>
      </c>
      <c r="D404">
        <v>431.38</v>
      </c>
      <c r="E404" s="8">
        <v>45808</v>
      </c>
      <c r="F404" t="s">
        <v>568</v>
      </c>
      <c r="G404">
        <v>728</v>
      </c>
      <c r="H404" t="s">
        <v>10</v>
      </c>
    </row>
    <row r="405" spans="1:8" x14ac:dyDescent="0.3">
      <c r="A405">
        <v>32</v>
      </c>
      <c r="B405" t="s">
        <v>3</v>
      </c>
      <c r="C405">
        <v>0</v>
      </c>
      <c r="D405">
        <v>540.69000000000005</v>
      </c>
      <c r="E405" s="8">
        <v>45768</v>
      </c>
      <c r="F405" s="8" t="s">
        <v>566</v>
      </c>
      <c r="G405">
        <v>982</v>
      </c>
      <c r="H405" t="s">
        <v>9</v>
      </c>
    </row>
    <row r="406" spans="1:8" x14ac:dyDescent="0.3">
      <c r="A406">
        <v>321</v>
      </c>
      <c r="B406" t="s">
        <v>3</v>
      </c>
      <c r="C406">
        <v>0</v>
      </c>
      <c r="D406">
        <v>465.62</v>
      </c>
      <c r="E406" s="8">
        <v>45808</v>
      </c>
      <c r="F406" t="s">
        <v>568</v>
      </c>
      <c r="G406">
        <v>779</v>
      </c>
      <c r="H406" t="s">
        <v>10</v>
      </c>
    </row>
    <row r="407" spans="1:8" x14ac:dyDescent="0.3">
      <c r="A407">
        <v>323</v>
      </c>
      <c r="B407" t="s">
        <v>2</v>
      </c>
      <c r="C407">
        <v>0</v>
      </c>
      <c r="D407">
        <v>265.56</v>
      </c>
      <c r="E407" s="8">
        <v>45813</v>
      </c>
      <c r="F407" s="8" t="s">
        <v>567</v>
      </c>
      <c r="G407">
        <v>512</v>
      </c>
      <c r="H407" t="s">
        <v>7</v>
      </c>
    </row>
    <row r="408" spans="1:8" x14ac:dyDescent="0.3">
      <c r="A408">
        <v>326</v>
      </c>
      <c r="B408" t="s">
        <v>2</v>
      </c>
      <c r="C408">
        <v>0</v>
      </c>
      <c r="D408">
        <v>666.64</v>
      </c>
      <c r="E408" s="8">
        <v>45766</v>
      </c>
      <c r="F408" s="8" t="s">
        <v>566</v>
      </c>
      <c r="G408">
        <v>472</v>
      </c>
      <c r="H408" t="s">
        <v>8</v>
      </c>
    </row>
    <row r="409" spans="1:8" x14ac:dyDescent="0.3">
      <c r="A409">
        <v>328</v>
      </c>
      <c r="B409" t="s">
        <v>2</v>
      </c>
      <c r="C409">
        <v>0</v>
      </c>
      <c r="D409">
        <v>218.19</v>
      </c>
      <c r="E409" s="8">
        <v>45790</v>
      </c>
      <c r="F409" t="s">
        <v>568</v>
      </c>
      <c r="G409">
        <v>316</v>
      </c>
      <c r="H409" t="s">
        <v>8</v>
      </c>
    </row>
    <row r="410" spans="1:8" x14ac:dyDescent="0.3">
      <c r="A410">
        <v>329</v>
      </c>
      <c r="B410" t="s">
        <v>2</v>
      </c>
      <c r="C410">
        <v>0</v>
      </c>
      <c r="D410">
        <v>605.24</v>
      </c>
      <c r="E410" s="8">
        <v>45751</v>
      </c>
      <c r="F410" s="8" t="s">
        <v>566</v>
      </c>
      <c r="G410">
        <v>388</v>
      </c>
      <c r="H410" t="s">
        <v>8</v>
      </c>
    </row>
    <row r="411" spans="1:8" x14ac:dyDescent="0.3">
      <c r="A411">
        <v>33</v>
      </c>
      <c r="B411" t="s">
        <v>2</v>
      </c>
      <c r="C411">
        <v>0</v>
      </c>
      <c r="D411">
        <v>227.32</v>
      </c>
      <c r="E411" s="8">
        <v>45770</v>
      </c>
      <c r="F411" s="8" t="s">
        <v>566</v>
      </c>
      <c r="G411">
        <v>805</v>
      </c>
      <c r="H411" t="s">
        <v>7</v>
      </c>
    </row>
    <row r="412" spans="1:8" x14ac:dyDescent="0.3">
      <c r="A412">
        <v>330</v>
      </c>
      <c r="B412" t="s">
        <v>2</v>
      </c>
      <c r="C412">
        <v>0</v>
      </c>
      <c r="D412">
        <v>558.38</v>
      </c>
      <c r="E412" s="8">
        <v>45771</v>
      </c>
      <c r="F412" s="8" t="s">
        <v>566</v>
      </c>
      <c r="G412">
        <v>920</v>
      </c>
      <c r="H412" t="s">
        <v>11</v>
      </c>
    </row>
    <row r="413" spans="1:8" x14ac:dyDescent="0.3">
      <c r="A413">
        <v>331</v>
      </c>
      <c r="B413" t="s">
        <v>3</v>
      </c>
      <c r="C413">
        <v>0</v>
      </c>
      <c r="D413">
        <v>263.87</v>
      </c>
      <c r="E413" s="8">
        <v>45813</v>
      </c>
      <c r="F413" s="8" t="s">
        <v>567</v>
      </c>
      <c r="G413">
        <v>100</v>
      </c>
      <c r="H413" t="s">
        <v>9</v>
      </c>
    </row>
    <row r="414" spans="1:8" x14ac:dyDescent="0.3">
      <c r="A414">
        <v>332</v>
      </c>
      <c r="B414" t="s">
        <v>3</v>
      </c>
      <c r="C414">
        <v>0</v>
      </c>
      <c r="D414">
        <v>380.25</v>
      </c>
      <c r="E414" s="8">
        <v>45801</v>
      </c>
      <c r="F414" t="s">
        <v>568</v>
      </c>
      <c r="G414">
        <v>932</v>
      </c>
      <c r="H414" t="s">
        <v>8</v>
      </c>
    </row>
    <row r="415" spans="1:8" x14ac:dyDescent="0.3">
      <c r="A415">
        <v>333</v>
      </c>
      <c r="B415" t="s">
        <v>2</v>
      </c>
      <c r="C415">
        <v>0</v>
      </c>
      <c r="D415">
        <v>427.6</v>
      </c>
      <c r="E415" s="8">
        <v>45799</v>
      </c>
      <c r="F415" t="s">
        <v>568</v>
      </c>
      <c r="G415">
        <v>842</v>
      </c>
      <c r="H415" t="s">
        <v>9</v>
      </c>
    </row>
    <row r="416" spans="1:8" x14ac:dyDescent="0.3">
      <c r="A416">
        <v>334</v>
      </c>
      <c r="B416" t="s">
        <v>3</v>
      </c>
      <c r="C416">
        <v>0</v>
      </c>
      <c r="D416">
        <v>496.23</v>
      </c>
      <c r="E416" s="8">
        <v>45806</v>
      </c>
      <c r="F416" t="s">
        <v>568</v>
      </c>
      <c r="G416">
        <v>675</v>
      </c>
      <c r="H416" t="s">
        <v>9</v>
      </c>
    </row>
    <row r="417" spans="1:8" x14ac:dyDescent="0.3">
      <c r="A417">
        <v>335</v>
      </c>
      <c r="B417" t="s">
        <v>3</v>
      </c>
      <c r="C417">
        <v>0</v>
      </c>
      <c r="D417">
        <v>747.5</v>
      </c>
      <c r="E417" s="8">
        <v>45762</v>
      </c>
      <c r="F417" s="8" t="s">
        <v>566</v>
      </c>
      <c r="G417">
        <v>642</v>
      </c>
      <c r="H417" t="s">
        <v>12</v>
      </c>
    </row>
    <row r="418" spans="1:8" x14ac:dyDescent="0.3">
      <c r="A418">
        <v>336</v>
      </c>
      <c r="B418" t="s">
        <v>2</v>
      </c>
      <c r="C418">
        <v>0</v>
      </c>
      <c r="D418">
        <v>536.47</v>
      </c>
      <c r="E418" s="8">
        <v>45825</v>
      </c>
      <c r="F418" s="8" t="s">
        <v>567</v>
      </c>
      <c r="G418">
        <v>790</v>
      </c>
      <c r="H418" t="s">
        <v>8</v>
      </c>
    </row>
    <row r="419" spans="1:8" x14ac:dyDescent="0.3">
      <c r="A419">
        <v>337</v>
      </c>
      <c r="B419" t="s">
        <v>3</v>
      </c>
      <c r="C419">
        <v>0</v>
      </c>
      <c r="D419">
        <v>467.38</v>
      </c>
      <c r="E419" s="8">
        <v>45801</v>
      </c>
      <c r="F419" t="s">
        <v>568</v>
      </c>
      <c r="G419">
        <v>873</v>
      </c>
      <c r="H419" t="s">
        <v>8</v>
      </c>
    </row>
    <row r="420" spans="1:8" x14ac:dyDescent="0.3">
      <c r="A420">
        <v>338</v>
      </c>
      <c r="B420" t="s">
        <v>2</v>
      </c>
      <c r="C420">
        <v>0</v>
      </c>
      <c r="D420">
        <v>410.86</v>
      </c>
      <c r="E420" s="8">
        <v>45768</v>
      </c>
      <c r="F420" s="8" t="s">
        <v>566</v>
      </c>
      <c r="G420">
        <v>670</v>
      </c>
      <c r="H420" t="s">
        <v>9</v>
      </c>
    </row>
    <row r="421" spans="1:8" x14ac:dyDescent="0.3">
      <c r="A421">
        <v>341</v>
      </c>
      <c r="B421" t="s">
        <v>3</v>
      </c>
      <c r="C421">
        <v>1</v>
      </c>
      <c r="D421">
        <v>449.94</v>
      </c>
      <c r="E421" s="8">
        <v>45790</v>
      </c>
      <c r="F421" t="s">
        <v>568</v>
      </c>
      <c r="G421">
        <v>816</v>
      </c>
      <c r="H421" t="s">
        <v>10</v>
      </c>
    </row>
    <row r="422" spans="1:8" x14ac:dyDescent="0.3">
      <c r="A422">
        <v>343</v>
      </c>
      <c r="B422" t="s">
        <v>3</v>
      </c>
      <c r="C422">
        <v>0</v>
      </c>
      <c r="D422">
        <v>587.46</v>
      </c>
      <c r="E422" s="8">
        <v>45825</v>
      </c>
      <c r="F422" s="8" t="s">
        <v>567</v>
      </c>
      <c r="G422">
        <v>170</v>
      </c>
      <c r="H422" t="s">
        <v>8</v>
      </c>
    </row>
    <row r="423" spans="1:8" x14ac:dyDescent="0.3">
      <c r="A423">
        <v>344</v>
      </c>
      <c r="B423" t="s">
        <v>3</v>
      </c>
      <c r="C423">
        <v>0</v>
      </c>
      <c r="D423">
        <v>291.52</v>
      </c>
      <c r="E423" s="8">
        <v>45822</v>
      </c>
      <c r="F423" s="8" t="s">
        <v>567</v>
      </c>
      <c r="G423">
        <v>485</v>
      </c>
      <c r="H423" t="s">
        <v>10</v>
      </c>
    </row>
    <row r="424" spans="1:8" x14ac:dyDescent="0.3">
      <c r="A424">
        <v>345</v>
      </c>
      <c r="B424" t="s">
        <v>2</v>
      </c>
      <c r="C424">
        <v>0</v>
      </c>
      <c r="D424">
        <v>648.04</v>
      </c>
      <c r="E424" s="8">
        <v>45761</v>
      </c>
      <c r="F424" s="8" t="s">
        <v>566</v>
      </c>
      <c r="G424">
        <v>929</v>
      </c>
      <c r="H424" t="s">
        <v>10</v>
      </c>
    </row>
    <row r="425" spans="1:8" x14ac:dyDescent="0.3">
      <c r="A425">
        <v>346</v>
      </c>
      <c r="B425" t="s">
        <v>3</v>
      </c>
      <c r="C425">
        <v>0</v>
      </c>
      <c r="D425">
        <v>318.61</v>
      </c>
      <c r="E425" s="8">
        <v>45803</v>
      </c>
      <c r="F425" t="s">
        <v>568</v>
      </c>
      <c r="G425">
        <v>231</v>
      </c>
      <c r="H425" t="s">
        <v>8</v>
      </c>
    </row>
    <row r="426" spans="1:8" x14ac:dyDescent="0.3">
      <c r="A426">
        <v>347</v>
      </c>
      <c r="B426" t="s">
        <v>2</v>
      </c>
      <c r="C426">
        <v>0</v>
      </c>
      <c r="D426">
        <v>402.53</v>
      </c>
      <c r="E426" s="8">
        <v>45795</v>
      </c>
      <c r="F426" t="s">
        <v>568</v>
      </c>
      <c r="G426">
        <v>769</v>
      </c>
      <c r="H426" t="s">
        <v>9</v>
      </c>
    </row>
    <row r="427" spans="1:8" x14ac:dyDescent="0.3">
      <c r="A427">
        <v>348</v>
      </c>
      <c r="B427" t="s">
        <v>2</v>
      </c>
      <c r="C427">
        <v>0</v>
      </c>
      <c r="D427">
        <v>654.98</v>
      </c>
      <c r="E427" s="8">
        <v>45807</v>
      </c>
      <c r="F427" t="s">
        <v>568</v>
      </c>
      <c r="G427">
        <v>776</v>
      </c>
      <c r="H427" t="s">
        <v>12</v>
      </c>
    </row>
    <row r="428" spans="1:8" x14ac:dyDescent="0.3">
      <c r="A428">
        <v>349</v>
      </c>
      <c r="B428" t="s">
        <v>3</v>
      </c>
      <c r="C428">
        <v>0</v>
      </c>
      <c r="D428">
        <v>523.42999999999995</v>
      </c>
      <c r="E428" s="8">
        <v>45823</v>
      </c>
      <c r="F428" s="8" t="s">
        <v>567</v>
      </c>
      <c r="G428">
        <v>854</v>
      </c>
      <c r="H428" t="s">
        <v>12</v>
      </c>
    </row>
    <row r="429" spans="1:8" x14ac:dyDescent="0.3">
      <c r="A429">
        <v>35</v>
      </c>
      <c r="B429" t="s">
        <v>2</v>
      </c>
      <c r="C429">
        <v>0</v>
      </c>
      <c r="D429">
        <v>433.96</v>
      </c>
      <c r="E429" s="8">
        <v>45774</v>
      </c>
      <c r="F429" s="8" t="s">
        <v>566</v>
      </c>
      <c r="G429">
        <v>574</v>
      </c>
      <c r="H429" t="s">
        <v>9</v>
      </c>
    </row>
    <row r="430" spans="1:8" x14ac:dyDescent="0.3">
      <c r="A430">
        <v>350</v>
      </c>
      <c r="B430" t="s">
        <v>2</v>
      </c>
      <c r="C430">
        <v>0</v>
      </c>
      <c r="D430">
        <v>529.4</v>
      </c>
      <c r="E430" s="8">
        <v>45766</v>
      </c>
      <c r="F430" s="8" t="s">
        <v>566</v>
      </c>
      <c r="G430">
        <v>129</v>
      </c>
      <c r="H430" t="s">
        <v>8</v>
      </c>
    </row>
    <row r="431" spans="1:8" x14ac:dyDescent="0.3">
      <c r="A431">
        <v>351</v>
      </c>
      <c r="B431" t="s">
        <v>2</v>
      </c>
      <c r="C431">
        <v>0</v>
      </c>
      <c r="D431">
        <v>494.28</v>
      </c>
      <c r="E431" s="8">
        <v>45804</v>
      </c>
      <c r="F431" t="s">
        <v>568</v>
      </c>
      <c r="G431">
        <v>840</v>
      </c>
      <c r="H431" t="s">
        <v>7</v>
      </c>
    </row>
    <row r="432" spans="1:8" x14ac:dyDescent="0.3">
      <c r="A432">
        <v>352</v>
      </c>
      <c r="B432" t="s">
        <v>2</v>
      </c>
      <c r="C432">
        <v>0</v>
      </c>
      <c r="D432">
        <v>698.65</v>
      </c>
      <c r="E432" s="8">
        <v>45781</v>
      </c>
      <c r="F432" t="s">
        <v>568</v>
      </c>
      <c r="G432">
        <v>231</v>
      </c>
      <c r="H432" t="s">
        <v>8</v>
      </c>
    </row>
    <row r="433" spans="1:8" x14ac:dyDescent="0.3">
      <c r="A433">
        <v>354</v>
      </c>
      <c r="B433" t="s">
        <v>3</v>
      </c>
      <c r="C433">
        <v>0</v>
      </c>
      <c r="D433">
        <v>342.09</v>
      </c>
      <c r="E433" s="8">
        <v>45751</v>
      </c>
      <c r="F433" s="8" t="s">
        <v>566</v>
      </c>
      <c r="G433">
        <v>545</v>
      </c>
      <c r="H433" t="s">
        <v>7</v>
      </c>
    </row>
    <row r="434" spans="1:8" x14ac:dyDescent="0.3">
      <c r="A434">
        <v>356</v>
      </c>
      <c r="B434" t="s">
        <v>3</v>
      </c>
      <c r="C434">
        <v>1</v>
      </c>
      <c r="D434">
        <v>344.13</v>
      </c>
      <c r="E434" s="8">
        <v>45790</v>
      </c>
      <c r="F434" t="s">
        <v>568</v>
      </c>
      <c r="G434">
        <v>59</v>
      </c>
      <c r="H434" t="s">
        <v>7</v>
      </c>
    </row>
    <row r="435" spans="1:8" x14ac:dyDescent="0.3">
      <c r="A435">
        <v>357</v>
      </c>
      <c r="B435" t="s">
        <v>2</v>
      </c>
      <c r="C435">
        <v>0</v>
      </c>
      <c r="D435">
        <v>548.55999999999995</v>
      </c>
      <c r="E435" s="8">
        <v>45773</v>
      </c>
      <c r="F435" s="8" t="s">
        <v>566</v>
      </c>
      <c r="G435">
        <v>519</v>
      </c>
      <c r="H435" t="s">
        <v>9</v>
      </c>
    </row>
    <row r="436" spans="1:8" x14ac:dyDescent="0.3">
      <c r="A436">
        <v>358</v>
      </c>
      <c r="B436" t="s">
        <v>3</v>
      </c>
      <c r="C436">
        <v>0</v>
      </c>
      <c r="D436">
        <v>603.85</v>
      </c>
      <c r="E436" s="8">
        <v>45753</v>
      </c>
      <c r="F436" s="8" t="s">
        <v>566</v>
      </c>
      <c r="G436">
        <v>587</v>
      </c>
      <c r="H436" t="s">
        <v>7</v>
      </c>
    </row>
    <row r="437" spans="1:8" x14ac:dyDescent="0.3">
      <c r="A437">
        <v>359</v>
      </c>
      <c r="B437" t="s">
        <v>3</v>
      </c>
      <c r="C437">
        <v>0</v>
      </c>
      <c r="D437">
        <v>590.5</v>
      </c>
      <c r="E437" s="8">
        <v>45765</v>
      </c>
      <c r="F437" s="8" t="s">
        <v>566</v>
      </c>
      <c r="G437">
        <v>503</v>
      </c>
      <c r="H437" t="s">
        <v>9</v>
      </c>
    </row>
    <row r="438" spans="1:8" x14ac:dyDescent="0.3">
      <c r="A438">
        <v>36</v>
      </c>
      <c r="B438" t="s">
        <v>2</v>
      </c>
      <c r="C438">
        <v>0</v>
      </c>
      <c r="D438">
        <v>380.74</v>
      </c>
      <c r="E438" s="8">
        <v>45805</v>
      </c>
      <c r="F438" t="s">
        <v>568</v>
      </c>
      <c r="G438">
        <v>475</v>
      </c>
      <c r="H438" t="s">
        <v>9</v>
      </c>
    </row>
    <row r="439" spans="1:8" x14ac:dyDescent="0.3">
      <c r="A439">
        <v>360</v>
      </c>
      <c r="B439" t="s">
        <v>3</v>
      </c>
      <c r="C439">
        <v>0</v>
      </c>
      <c r="D439">
        <v>568.53</v>
      </c>
      <c r="E439" s="8">
        <v>45771</v>
      </c>
      <c r="F439" s="8" t="s">
        <v>566</v>
      </c>
      <c r="G439">
        <v>981</v>
      </c>
      <c r="H439" t="s">
        <v>11</v>
      </c>
    </row>
    <row r="440" spans="1:8" x14ac:dyDescent="0.3">
      <c r="A440">
        <v>361</v>
      </c>
      <c r="B440" t="s">
        <v>2</v>
      </c>
      <c r="C440">
        <v>0</v>
      </c>
      <c r="D440">
        <v>684.03</v>
      </c>
      <c r="E440" s="8">
        <v>45782</v>
      </c>
      <c r="F440" t="s">
        <v>568</v>
      </c>
      <c r="G440">
        <v>289</v>
      </c>
      <c r="H440" t="s">
        <v>10</v>
      </c>
    </row>
    <row r="441" spans="1:8" x14ac:dyDescent="0.3">
      <c r="A441">
        <v>362</v>
      </c>
      <c r="B441" t="s">
        <v>3</v>
      </c>
      <c r="C441">
        <v>0</v>
      </c>
      <c r="D441">
        <v>514.28</v>
      </c>
      <c r="E441" s="8">
        <v>45802</v>
      </c>
      <c r="F441" t="s">
        <v>568</v>
      </c>
      <c r="G441">
        <v>861</v>
      </c>
      <c r="H441" t="s">
        <v>12</v>
      </c>
    </row>
    <row r="442" spans="1:8" x14ac:dyDescent="0.3">
      <c r="A442">
        <v>369</v>
      </c>
      <c r="B442" t="s">
        <v>2</v>
      </c>
      <c r="C442">
        <v>0</v>
      </c>
      <c r="D442">
        <v>257.37</v>
      </c>
      <c r="E442" s="8">
        <v>45776</v>
      </c>
      <c r="F442" s="8" t="s">
        <v>566</v>
      </c>
      <c r="G442">
        <v>832</v>
      </c>
      <c r="H442" t="s">
        <v>9</v>
      </c>
    </row>
    <row r="443" spans="1:8" x14ac:dyDescent="0.3">
      <c r="A443">
        <v>37</v>
      </c>
      <c r="B443" t="s">
        <v>3</v>
      </c>
      <c r="C443">
        <v>0</v>
      </c>
      <c r="D443">
        <v>715.38</v>
      </c>
      <c r="E443" s="8">
        <v>45769</v>
      </c>
      <c r="F443" s="8" t="s">
        <v>566</v>
      </c>
      <c r="G443">
        <v>720</v>
      </c>
      <c r="H443" t="s">
        <v>11</v>
      </c>
    </row>
    <row r="444" spans="1:8" x14ac:dyDescent="0.3">
      <c r="A444">
        <v>370</v>
      </c>
      <c r="B444" t="s">
        <v>3</v>
      </c>
      <c r="C444">
        <v>0</v>
      </c>
      <c r="D444">
        <v>186.88</v>
      </c>
      <c r="E444" s="8">
        <v>45768</v>
      </c>
      <c r="F444" s="8" t="s">
        <v>566</v>
      </c>
      <c r="G444">
        <v>225</v>
      </c>
      <c r="H444" t="s">
        <v>8</v>
      </c>
    </row>
    <row r="445" spans="1:8" x14ac:dyDescent="0.3">
      <c r="A445">
        <v>371</v>
      </c>
      <c r="B445" t="s">
        <v>2</v>
      </c>
      <c r="C445">
        <v>0</v>
      </c>
      <c r="D445">
        <v>459.42</v>
      </c>
      <c r="E445" s="8">
        <v>45767</v>
      </c>
      <c r="F445" s="8" t="s">
        <v>566</v>
      </c>
      <c r="G445">
        <v>470</v>
      </c>
      <c r="H445" t="s">
        <v>9</v>
      </c>
    </row>
    <row r="446" spans="1:8" x14ac:dyDescent="0.3">
      <c r="A446">
        <v>375</v>
      </c>
      <c r="B446" t="s">
        <v>2</v>
      </c>
      <c r="C446">
        <v>0</v>
      </c>
      <c r="D446">
        <v>420.74</v>
      </c>
      <c r="E446" s="8">
        <v>45761</v>
      </c>
      <c r="F446" s="8" t="s">
        <v>566</v>
      </c>
      <c r="G446">
        <v>819</v>
      </c>
      <c r="H446" t="s">
        <v>9</v>
      </c>
    </row>
    <row r="447" spans="1:8" x14ac:dyDescent="0.3">
      <c r="A447">
        <v>376</v>
      </c>
      <c r="B447" t="s">
        <v>3</v>
      </c>
      <c r="C447">
        <v>1</v>
      </c>
      <c r="D447">
        <v>195.76</v>
      </c>
      <c r="E447" s="8">
        <v>45796</v>
      </c>
      <c r="F447" t="s">
        <v>568</v>
      </c>
      <c r="G447">
        <v>497</v>
      </c>
      <c r="H447" t="s">
        <v>7</v>
      </c>
    </row>
    <row r="448" spans="1:8" x14ac:dyDescent="0.3">
      <c r="A448">
        <v>377</v>
      </c>
      <c r="B448" t="s">
        <v>2</v>
      </c>
      <c r="C448">
        <v>0</v>
      </c>
      <c r="D448">
        <v>346.01</v>
      </c>
      <c r="E448" s="8">
        <v>45791</v>
      </c>
      <c r="F448" t="s">
        <v>568</v>
      </c>
      <c r="G448">
        <v>823</v>
      </c>
      <c r="H448" t="s">
        <v>7</v>
      </c>
    </row>
    <row r="449" spans="1:8" x14ac:dyDescent="0.3">
      <c r="A449">
        <v>378</v>
      </c>
      <c r="B449" t="s">
        <v>3</v>
      </c>
      <c r="C449">
        <v>0</v>
      </c>
      <c r="D449">
        <v>354.21</v>
      </c>
      <c r="E449" s="8">
        <v>45764</v>
      </c>
      <c r="F449" s="8" t="s">
        <v>566</v>
      </c>
      <c r="G449">
        <v>943</v>
      </c>
      <c r="H449" t="s">
        <v>9</v>
      </c>
    </row>
    <row r="450" spans="1:8" x14ac:dyDescent="0.3">
      <c r="A450">
        <v>38</v>
      </c>
      <c r="B450" t="s">
        <v>2</v>
      </c>
      <c r="C450">
        <v>0</v>
      </c>
      <c r="D450">
        <v>440.7</v>
      </c>
      <c r="E450" s="8">
        <v>45803</v>
      </c>
      <c r="F450" t="s">
        <v>568</v>
      </c>
      <c r="G450">
        <v>484</v>
      </c>
      <c r="H450" t="s">
        <v>8</v>
      </c>
    </row>
    <row r="451" spans="1:8" x14ac:dyDescent="0.3">
      <c r="A451">
        <v>382</v>
      </c>
      <c r="B451" t="s">
        <v>2</v>
      </c>
      <c r="C451">
        <v>0</v>
      </c>
      <c r="D451">
        <v>692.47</v>
      </c>
      <c r="E451" s="8">
        <v>45773</v>
      </c>
      <c r="F451" s="8" t="s">
        <v>566</v>
      </c>
      <c r="G451">
        <v>99</v>
      </c>
      <c r="H451" t="s">
        <v>11</v>
      </c>
    </row>
    <row r="452" spans="1:8" x14ac:dyDescent="0.3">
      <c r="A452">
        <v>383</v>
      </c>
      <c r="B452" t="s">
        <v>3</v>
      </c>
      <c r="C452">
        <v>0</v>
      </c>
      <c r="D452">
        <v>504.66</v>
      </c>
      <c r="E452" s="8">
        <v>45762</v>
      </c>
      <c r="F452" s="8" t="s">
        <v>566</v>
      </c>
      <c r="G452">
        <v>451</v>
      </c>
      <c r="H452" t="s">
        <v>8</v>
      </c>
    </row>
    <row r="453" spans="1:8" x14ac:dyDescent="0.3">
      <c r="A453">
        <v>384</v>
      </c>
      <c r="B453" t="s">
        <v>2</v>
      </c>
      <c r="C453">
        <v>0</v>
      </c>
      <c r="D453">
        <v>453.66</v>
      </c>
      <c r="E453" s="8">
        <v>45774</v>
      </c>
      <c r="F453" s="8" t="s">
        <v>566</v>
      </c>
      <c r="G453">
        <v>242</v>
      </c>
      <c r="H453" t="s">
        <v>10</v>
      </c>
    </row>
    <row r="454" spans="1:8" x14ac:dyDescent="0.3">
      <c r="A454">
        <v>386</v>
      </c>
      <c r="B454" t="s">
        <v>3</v>
      </c>
      <c r="C454">
        <v>0</v>
      </c>
      <c r="D454">
        <v>323.99</v>
      </c>
      <c r="E454" s="8">
        <v>45768</v>
      </c>
      <c r="F454" s="8" t="s">
        <v>566</v>
      </c>
      <c r="G454">
        <v>445</v>
      </c>
      <c r="H454" t="s">
        <v>9</v>
      </c>
    </row>
    <row r="455" spans="1:8" x14ac:dyDescent="0.3">
      <c r="A455">
        <v>387</v>
      </c>
      <c r="B455" t="s">
        <v>2</v>
      </c>
      <c r="C455">
        <v>0</v>
      </c>
      <c r="D455">
        <v>362.98</v>
      </c>
      <c r="E455" s="8">
        <v>45767</v>
      </c>
      <c r="F455" s="8" t="s">
        <v>566</v>
      </c>
      <c r="G455">
        <v>2</v>
      </c>
      <c r="H455" t="s">
        <v>8</v>
      </c>
    </row>
    <row r="456" spans="1:8" x14ac:dyDescent="0.3">
      <c r="A456">
        <v>389</v>
      </c>
      <c r="B456" t="s">
        <v>2</v>
      </c>
      <c r="C456">
        <v>0</v>
      </c>
      <c r="D456">
        <v>265.11</v>
      </c>
      <c r="E456" s="8">
        <v>45765</v>
      </c>
      <c r="F456" s="8" t="s">
        <v>566</v>
      </c>
      <c r="G456">
        <v>457</v>
      </c>
      <c r="H456" t="s">
        <v>7</v>
      </c>
    </row>
    <row r="457" spans="1:8" x14ac:dyDescent="0.3">
      <c r="A457">
        <v>39</v>
      </c>
      <c r="B457" t="s">
        <v>2</v>
      </c>
      <c r="C457">
        <v>0</v>
      </c>
      <c r="D457">
        <v>628.12</v>
      </c>
      <c r="E457" s="8">
        <v>45791</v>
      </c>
      <c r="F457" t="s">
        <v>568</v>
      </c>
      <c r="G457">
        <v>955</v>
      </c>
      <c r="H457" t="s">
        <v>12</v>
      </c>
    </row>
    <row r="458" spans="1:8" x14ac:dyDescent="0.3">
      <c r="A458">
        <v>390</v>
      </c>
      <c r="B458" t="s">
        <v>3</v>
      </c>
      <c r="C458">
        <v>0</v>
      </c>
      <c r="D458">
        <v>630.23</v>
      </c>
      <c r="E458" s="8">
        <v>45797</v>
      </c>
      <c r="F458" t="s">
        <v>568</v>
      </c>
      <c r="G458">
        <v>564</v>
      </c>
      <c r="H458" t="s">
        <v>9</v>
      </c>
    </row>
    <row r="459" spans="1:8" x14ac:dyDescent="0.3">
      <c r="A459">
        <v>391</v>
      </c>
      <c r="B459" t="s">
        <v>2</v>
      </c>
      <c r="C459">
        <v>0</v>
      </c>
      <c r="D459">
        <v>718.22</v>
      </c>
      <c r="E459" s="8">
        <v>45777</v>
      </c>
      <c r="F459" s="8" t="s">
        <v>566</v>
      </c>
      <c r="G459">
        <v>564</v>
      </c>
      <c r="H459" t="s">
        <v>9</v>
      </c>
    </row>
    <row r="460" spans="1:8" x14ac:dyDescent="0.3">
      <c r="A460">
        <v>392</v>
      </c>
      <c r="B460" t="s">
        <v>2</v>
      </c>
      <c r="C460">
        <v>0</v>
      </c>
      <c r="D460">
        <v>202.88</v>
      </c>
      <c r="E460" s="8">
        <v>45798</v>
      </c>
      <c r="F460" t="s">
        <v>568</v>
      </c>
      <c r="G460">
        <v>975</v>
      </c>
      <c r="H460" t="s">
        <v>10</v>
      </c>
    </row>
    <row r="461" spans="1:8" x14ac:dyDescent="0.3">
      <c r="A461">
        <v>394</v>
      </c>
      <c r="B461" t="s">
        <v>2</v>
      </c>
      <c r="C461">
        <v>0</v>
      </c>
      <c r="D461">
        <v>456.05</v>
      </c>
      <c r="E461" s="8">
        <v>45823</v>
      </c>
      <c r="F461" s="8" t="s">
        <v>567</v>
      </c>
      <c r="G461">
        <v>435</v>
      </c>
      <c r="H461" t="s">
        <v>10</v>
      </c>
    </row>
    <row r="462" spans="1:8" x14ac:dyDescent="0.3">
      <c r="A462">
        <v>396</v>
      </c>
      <c r="B462" t="s">
        <v>2</v>
      </c>
      <c r="C462">
        <v>0</v>
      </c>
      <c r="D462">
        <v>567.23</v>
      </c>
      <c r="E462" s="8">
        <v>45805</v>
      </c>
      <c r="F462" t="s">
        <v>568</v>
      </c>
      <c r="G462">
        <v>612</v>
      </c>
      <c r="H462" t="s">
        <v>9</v>
      </c>
    </row>
    <row r="463" spans="1:8" x14ac:dyDescent="0.3">
      <c r="A463">
        <v>397</v>
      </c>
      <c r="B463" t="s">
        <v>2</v>
      </c>
      <c r="C463">
        <v>0</v>
      </c>
      <c r="D463">
        <v>458.22</v>
      </c>
      <c r="E463" s="8">
        <v>45776</v>
      </c>
      <c r="F463" s="8" t="s">
        <v>566</v>
      </c>
      <c r="G463">
        <v>17</v>
      </c>
      <c r="H463" t="s">
        <v>8</v>
      </c>
    </row>
    <row r="464" spans="1:8" x14ac:dyDescent="0.3">
      <c r="A464">
        <v>399</v>
      </c>
      <c r="B464" t="s">
        <v>3</v>
      </c>
      <c r="C464">
        <v>0</v>
      </c>
      <c r="D464">
        <v>392.48</v>
      </c>
      <c r="E464" s="8">
        <v>45752</v>
      </c>
      <c r="F464" s="8" t="s">
        <v>566</v>
      </c>
      <c r="G464">
        <v>700</v>
      </c>
      <c r="H464" t="s">
        <v>12</v>
      </c>
    </row>
    <row r="465" spans="1:8" x14ac:dyDescent="0.3">
      <c r="A465">
        <v>40</v>
      </c>
      <c r="B465" t="s">
        <v>3</v>
      </c>
      <c r="C465">
        <v>1</v>
      </c>
      <c r="D465">
        <v>233.35</v>
      </c>
      <c r="E465" s="8">
        <v>45790</v>
      </c>
      <c r="F465" t="s">
        <v>568</v>
      </c>
      <c r="G465">
        <v>96</v>
      </c>
      <c r="H465" t="s">
        <v>9</v>
      </c>
    </row>
    <row r="466" spans="1:8" x14ac:dyDescent="0.3">
      <c r="A466">
        <v>400</v>
      </c>
      <c r="B466" t="s">
        <v>3</v>
      </c>
      <c r="C466">
        <v>0</v>
      </c>
      <c r="D466">
        <v>487.91</v>
      </c>
      <c r="E466" s="8">
        <v>45768</v>
      </c>
      <c r="F466" s="8" t="s">
        <v>566</v>
      </c>
      <c r="G466">
        <v>928</v>
      </c>
      <c r="H466" t="s">
        <v>10</v>
      </c>
    </row>
    <row r="467" spans="1:8" x14ac:dyDescent="0.3">
      <c r="A467">
        <v>401</v>
      </c>
      <c r="B467" t="s">
        <v>2</v>
      </c>
      <c r="C467">
        <v>0</v>
      </c>
      <c r="D467">
        <v>523.89</v>
      </c>
      <c r="E467" s="8">
        <v>45762</v>
      </c>
      <c r="F467" s="8" t="s">
        <v>566</v>
      </c>
      <c r="G467">
        <v>397</v>
      </c>
      <c r="H467" t="s">
        <v>8</v>
      </c>
    </row>
    <row r="468" spans="1:8" x14ac:dyDescent="0.3">
      <c r="A468">
        <v>402</v>
      </c>
      <c r="B468" t="s">
        <v>2</v>
      </c>
      <c r="C468">
        <v>0</v>
      </c>
      <c r="D468">
        <v>394.47</v>
      </c>
      <c r="E468" s="8">
        <v>45790</v>
      </c>
      <c r="F468" t="s">
        <v>568</v>
      </c>
      <c r="G468">
        <v>301</v>
      </c>
      <c r="H468" t="s">
        <v>8</v>
      </c>
    </row>
    <row r="469" spans="1:8" x14ac:dyDescent="0.3">
      <c r="A469">
        <v>403</v>
      </c>
      <c r="B469" t="s">
        <v>3</v>
      </c>
      <c r="C469">
        <v>0</v>
      </c>
      <c r="D469">
        <v>336.24</v>
      </c>
      <c r="E469" s="8">
        <v>45774</v>
      </c>
      <c r="F469" s="8" t="s">
        <v>566</v>
      </c>
      <c r="G469">
        <v>476</v>
      </c>
      <c r="H469" t="s">
        <v>7</v>
      </c>
    </row>
    <row r="470" spans="1:8" x14ac:dyDescent="0.3">
      <c r="A470">
        <v>404</v>
      </c>
      <c r="B470" t="s">
        <v>2</v>
      </c>
      <c r="C470">
        <v>0</v>
      </c>
      <c r="D470">
        <v>225.88</v>
      </c>
      <c r="E470" s="8">
        <v>45803</v>
      </c>
      <c r="F470" t="s">
        <v>568</v>
      </c>
      <c r="G470">
        <v>929</v>
      </c>
      <c r="H470" t="s">
        <v>10</v>
      </c>
    </row>
    <row r="471" spans="1:8" x14ac:dyDescent="0.3">
      <c r="A471">
        <v>405</v>
      </c>
      <c r="B471" t="s">
        <v>2</v>
      </c>
      <c r="C471">
        <v>0</v>
      </c>
      <c r="D471">
        <v>455.67</v>
      </c>
      <c r="E471" s="8">
        <v>45797</v>
      </c>
      <c r="F471" t="s">
        <v>568</v>
      </c>
      <c r="G471">
        <v>657</v>
      </c>
      <c r="H471" t="s">
        <v>9</v>
      </c>
    </row>
    <row r="472" spans="1:8" x14ac:dyDescent="0.3">
      <c r="A472">
        <v>406</v>
      </c>
      <c r="B472" t="s">
        <v>2</v>
      </c>
      <c r="C472">
        <v>0</v>
      </c>
      <c r="D472">
        <v>566.89</v>
      </c>
      <c r="E472" s="8">
        <v>45791</v>
      </c>
      <c r="F472" t="s">
        <v>568</v>
      </c>
      <c r="G472">
        <v>677</v>
      </c>
      <c r="H472" t="s">
        <v>12</v>
      </c>
    </row>
    <row r="473" spans="1:8" x14ac:dyDescent="0.3">
      <c r="A473">
        <v>407</v>
      </c>
      <c r="B473" t="s">
        <v>3</v>
      </c>
      <c r="C473">
        <v>0</v>
      </c>
      <c r="D473">
        <v>560</v>
      </c>
      <c r="E473" s="8">
        <v>45768</v>
      </c>
      <c r="F473" s="8" t="s">
        <v>566</v>
      </c>
      <c r="G473">
        <v>12</v>
      </c>
      <c r="H473" t="s">
        <v>7</v>
      </c>
    </row>
    <row r="474" spans="1:8" x14ac:dyDescent="0.3">
      <c r="A474">
        <v>408</v>
      </c>
      <c r="B474" t="s">
        <v>2</v>
      </c>
      <c r="C474">
        <v>0</v>
      </c>
      <c r="D474">
        <v>448.55</v>
      </c>
      <c r="E474" s="8">
        <v>45752</v>
      </c>
      <c r="F474" s="8" t="s">
        <v>566</v>
      </c>
      <c r="G474">
        <v>202</v>
      </c>
      <c r="H474" t="s">
        <v>10</v>
      </c>
    </row>
    <row r="475" spans="1:8" x14ac:dyDescent="0.3">
      <c r="A475">
        <v>41</v>
      </c>
      <c r="B475" t="s">
        <v>2</v>
      </c>
      <c r="C475">
        <v>0</v>
      </c>
      <c r="D475">
        <v>481.09</v>
      </c>
      <c r="E475" s="8">
        <v>45761</v>
      </c>
      <c r="F475" s="8" t="s">
        <v>566</v>
      </c>
      <c r="G475">
        <v>367</v>
      </c>
      <c r="H475" t="s">
        <v>10</v>
      </c>
    </row>
    <row r="476" spans="1:8" x14ac:dyDescent="0.3">
      <c r="A476">
        <v>410</v>
      </c>
      <c r="B476" t="s">
        <v>2</v>
      </c>
      <c r="C476">
        <v>0</v>
      </c>
      <c r="D476">
        <v>816.6</v>
      </c>
      <c r="E476" s="8">
        <v>45800</v>
      </c>
      <c r="F476" t="s">
        <v>568</v>
      </c>
      <c r="G476">
        <v>419</v>
      </c>
      <c r="H476" t="s">
        <v>11</v>
      </c>
    </row>
    <row r="477" spans="1:8" x14ac:dyDescent="0.3">
      <c r="A477">
        <v>411</v>
      </c>
      <c r="B477" t="s">
        <v>3</v>
      </c>
      <c r="C477">
        <v>1</v>
      </c>
      <c r="D477">
        <v>393.19</v>
      </c>
      <c r="E477" s="8">
        <v>45790</v>
      </c>
      <c r="F477" t="s">
        <v>568</v>
      </c>
      <c r="G477">
        <v>207</v>
      </c>
      <c r="H477" t="s">
        <v>7</v>
      </c>
    </row>
    <row r="478" spans="1:8" x14ac:dyDescent="0.3">
      <c r="A478">
        <v>413</v>
      </c>
      <c r="B478" t="s">
        <v>2</v>
      </c>
      <c r="C478">
        <v>0</v>
      </c>
      <c r="D478">
        <v>669.28</v>
      </c>
      <c r="E478" s="8">
        <v>45825</v>
      </c>
      <c r="F478" s="8" t="s">
        <v>567</v>
      </c>
      <c r="G478">
        <v>69</v>
      </c>
      <c r="H478" t="s">
        <v>7</v>
      </c>
    </row>
    <row r="479" spans="1:8" x14ac:dyDescent="0.3">
      <c r="A479">
        <v>414</v>
      </c>
      <c r="B479" t="s">
        <v>3</v>
      </c>
      <c r="C479">
        <v>0</v>
      </c>
      <c r="D479">
        <v>492.17</v>
      </c>
      <c r="E479" s="8">
        <v>45822</v>
      </c>
      <c r="F479" s="8" t="s">
        <v>567</v>
      </c>
      <c r="G479">
        <v>404</v>
      </c>
      <c r="H479" t="s">
        <v>7</v>
      </c>
    </row>
    <row r="480" spans="1:8" x14ac:dyDescent="0.3">
      <c r="A480">
        <v>416</v>
      </c>
      <c r="B480" t="s">
        <v>3</v>
      </c>
      <c r="C480">
        <v>0</v>
      </c>
      <c r="D480">
        <v>357.92</v>
      </c>
      <c r="E480" s="8">
        <v>45753</v>
      </c>
      <c r="F480" s="8" t="s">
        <v>566</v>
      </c>
      <c r="G480">
        <v>336</v>
      </c>
      <c r="H480" t="s">
        <v>9</v>
      </c>
    </row>
    <row r="481" spans="1:8" x14ac:dyDescent="0.3">
      <c r="A481">
        <v>418</v>
      </c>
      <c r="B481" t="s">
        <v>3</v>
      </c>
      <c r="C481">
        <v>0</v>
      </c>
      <c r="D481">
        <v>211.8</v>
      </c>
      <c r="E481" s="8">
        <v>45783</v>
      </c>
      <c r="F481" t="s">
        <v>568</v>
      </c>
      <c r="G481">
        <v>384</v>
      </c>
      <c r="H481" t="s">
        <v>7</v>
      </c>
    </row>
    <row r="482" spans="1:8" x14ac:dyDescent="0.3">
      <c r="A482">
        <v>419</v>
      </c>
      <c r="B482" t="s">
        <v>2</v>
      </c>
      <c r="C482">
        <v>0</v>
      </c>
      <c r="D482">
        <v>673.59</v>
      </c>
      <c r="E482" s="8">
        <v>45799</v>
      </c>
      <c r="F482" t="s">
        <v>568</v>
      </c>
      <c r="G482">
        <v>148</v>
      </c>
      <c r="H482" t="s">
        <v>10</v>
      </c>
    </row>
    <row r="483" spans="1:8" x14ac:dyDescent="0.3">
      <c r="A483">
        <v>42</v>
      </c>
      <c r="B483" t="s">
        <v>3</v>
      </c>
      <c r="C483">
        <v>0</v>
      </c>
      <c r="D483">
        <v>186.91</v>
      </c>
      <c r="E483" s="8">
        <v>45808</v>
      </c>
      <c r="F483" t="s">
        <v>568</v>
      </c>
      <c r="G483">
        <v>191</v>
      </c>
      <c r="H483" t="s">
        <v>7</v>
      </c>
    </row>
    <row r="484" spans="1:8" x14ac:dyDescent="0.3">
      <c r="A484">
        <v>420</v>
      </c>
      <c r="B484" t="s">
        <v>3</v>
      </c>
      <c r="C484">
        <v>0</v>
      </c>
      <c r="D484">
        <v>503.76</v>
      </c>
      <c r="E484" s="8">
        <v>45824</v>
      </c>
      <c r="F484" s="8" t="s">
        <v>567</v>
      </c>
      <c r="G484">
        <v>828</v>
      </c>
      <c r="H484" t="s">
        <v>8</v>
      </c>
    </row>
    <row r="485" spans="1:8" x14ac:dyDescent="0.3">
      <c r="A485">
        <v>421</v>
      </c>
      <c r="B485" t="s">
        <v>2</v>
      </c>
      <c r="C485">
        <v>0</v>
      </c>
      <c r="D485">
        <v>310.51</v>
      </c>
      <c r="E485" s="8">
        <v>45796</v>
      </c>
      <c r="F485" t="s">
        <v>568</v>
      </c>
      <c r="G485">
        <v>230</v>
      </c>
      <c r="H485" t="s">
        <v>8</v>
      </c>
    </row>
    <row r="486" spans="1:8" x14ac:dyDescent="0.3">
      <c r="A486">
        <v>423</v>
      </c>
      <c r="B486" t="s">
        <v>3</v>
      </c>
      <c r="C486">
        <v>1</v>
      </c>
      <c r="D486">
        <v>238.34</v>
      </c>
      <c r="E486" s="8">
        <v>45790</v>
      </c>
      <c r="F486" t="s">
        <v>568</v>
      </c>
      <c r="G486">
        <v>729</v>
      </c>
      <c r="H486" t="s">
        <v>12</v>
      </c>
    </row>
    <row r="487" spans="1:8" x14ac:dyDescent="0.3">
      <c r="A487">
        <v>424</v>
      </c>
      <c r="B487" t="s">
        <v>3</v>
      </c>
      <c r="C487">
        <v>0</v>
      </c>
      <c r="D487">
        <v>397.38</v>
      </c>
      <c r="E487" s="8">
        <v>45799</v>
      </c>
      <c r="F487" t="s">
        <v>568</v>
      </c>
      <c r="G487">
        <v>956</v>
      </c>
      <c r="H487" t="s">
        <v>12</v>
      </c>
    </row>
    <row r="488" spans="1:8" x14ac:dyDescent="0.3">
      <c r="A488">
        <v>425</v>
      </c>
      <c r="B488" t="s">
        <v>2</v>
      </c>
      <c r="C488">
        <v>0</v>
      </c>
      <c r="D488">
        <v>341.94</v>
      </c>
      <c r="E488" s="8">
        <v>45763</v>
      </c>
      <c r="F488" s="8" t="s">
        <v>566</v>
      </c>
      <c r="G488">
        <v>124</v>
      </c>
      <c r="H488" t="s">
        <v>8</v>
      </c>
    </row>
    <row r="489" spans="1:8" x14ac:dyDescent="0.3">
      <c r="A489">
        <v>426</v>
      </c>
      <c r="B489" t="s">
        <v>2</v>
      </c>
      <c r="C489">
        <v>0</v>
      </c>
      <c r="D489">
        <v>605.80999999999995</v>
      </c>
      <c r="E489" s="8">
        <v>45823</v>
      </c>
      <c r="F489" s="8" t="s">
        <v>567</v>
      </c>
      <c r="G489">
        <v>38</v>
      </c>
      <c r="H489" t="s">
        <v>11</v>
      </c>
    </row>
    <row r="490" spans="1:8" x14ac:dyDescent="0.3">
      <c r="A490">
        <v>427</v>
      </c>
      <c r="B490" t="s">
        <v>3</v>
      </c>
      <c r="C490">
        <v>0</v>
      </c>
      <c r="D490">
        <v>525.37</v>
      </c>
      <c r="E490" s="8">
        <v>45825</v>
      </c>
      <c r="F490" s="8" t="s">
        <v>567</v>
      </c>
      <c r="G490">
        <v>401</v>
      </c>
      <c r="H490" t="s">
        <v>8</v>
      </c>
    </row>
    <row r="491" spans="1:8" x14ac:dyDescent="0.3">
      <c r="A491">
        <v>428</v>
      </c>
      <c r="B491" t="s">
        <v>3</v>
      </c>
      <c r="C491">
        <v>1</v>
      </c>
      <c r="D491">
        <v>70.69</v>
      </c>
      <c r="E491" s="8">
        <v>45791</v>
      </c>
      <c r="F491" t="s">
        <v>568</v>
      </c>
      <c r="G491">
        <v>556</v>
      </c>
      <c r="H491" t="s">
        <v>9</v>
      </c>
    </row>
    <row r="492" spans="1:8" x14ac:dyDescent="0.3">
      <c r="A492">
        <v>429</v>
      </c>
      <c r="B492" t="s">
        <v>3</v>
      </c>
      <c r="C492">
        <v>0</v>
      </c>
      <c r="D492">
        <v>554.35</v>
      </c>
      <c r="E492" s="8">
        <v>45822</v>
      </c>
      <c r="F492" s="8" t="s">
        <v>567</v>
      </c>
      <c r="G492">
        <v>978</v>
      </c>
      <c r="H492" t="s">
        <v>8</v>
      </c>
    </row>
    <row r="493" spans="1:8" x14ac:dyDescent="0.3">
      <c r="A493">
        <v>43</v>
      </c>
      <c r="B493" t="s">
        <v>3</v>
      </c>
      <c r="C493">
        <v>0</v>
      </c>
      <c r="D493">
        <v>478.95</v>
      </c>
      <c r="E493" s="8">
        <v>45762</v>
      </c>
      <c r="F493" s="8" t="s">
        <v>566</v>
      </c>
      <c r="G493">
        <v>217</v>
      </c>
      <c r="H493" t="s">
        <v>9</v>
      </c>
    </row>
    <row r="494" spans="1:8" x14ac:dyDescent="0.3">
      <c r="A494">
        <v>430</v>
      </c>
      <c r="B494" t="s">
        <v>2</v>
      </c>
      <c r="C494">
        <v>0</v>
      </c>
      <c r="D494">
        <v>346.27</v>
      </c>
      <c r="E494" s="8">
        <v>45765</v>
      </c>
      <c r="F494" s="8" t="s">
        <v>566</v>
      </c>
      <c r="G494">
        <v>654</v>
      </c>
      <c r="H494" t="s">
        <v>9</v>
      </c>
    </row>
    <row r="495" spans="1:8" x14ac:dyDescent="0.3">
      <c r="A495">
        <v>432</v>
      </c>
      <c r="B495" t="s">
        <v>2</v>
      </c>
      <c r="C495">
        <v>0</v>
      </c>
      <c r="D495">
        <v>432.21</v>
      </c>
      <c r="E495" s="8">
        <v>45767</v>
      </c>
      <c r="F495" s="8" t="s">
        <v>566</v>
      </c>
      <c r="G495">
        <v>432</v>
      </c>
      <c r="H495" t="s">
        <v>7</v>
      </c>
    </row>
    <row r="496" spans="1:8" x14ac:dyDescent="0.3">
      <c r="A496">
        <v>433</v>
      </c>
      <c r="B496" t="s">
        <v>3</v>
      </c>
      <c r="C496">
        <v>0</v>
      </c>
      <c r="D496">
        <v>647.79999999999995</v>
      </c>
      <c r="E496" s="8">
        <v>45807</v>
      </c>
      <c r="F496" t="s">
        <v>568</v>
      </c>
      <c r="G496">
        <v>608</v>
      </c>
      <c r="H496" t="s">
        <v>8</v>
      </c>
    </row>
    <row r="497" spans="1:8" x14ac:dyDescent="0.3">
      <c r="A497">
        <v>435</v>
      </c>
      <c r="B497" t="s">
        <v>3</v>
      </c>
      <c r="C497">
        <v>0</v>
      </c>
      <c r="D497">
        <v>300.68</v>
      </c>
      <c r="E497" s="8">
        <v>45774</v>
      </c>
      <c r="F497" s="8" t="s">
        <v>566</v>
      </c>
      <c r="G497">
        <v>613</v>
      </c>
      <c r="H497" t="s">
        <v>10</v>
      </c>
    </row>
    <row r="498" spans="1:8" x14ac:dyDescent="0.3">
      <c r="A498">
        <v>436</v>
      </c>
      <c r="B498" t="s">
        <v>3</v>
      </c>
      <c r="C498">
        <v>0</v>
      </c>
      <c r="D498">
        <v>345.59</v>
      </c>
      <c r="E498" s="8">
        <v>45775</v>
      </c>
      <c r="F498" s="8" t="s">
        <v>566</v>
      </c>
      <c r="G498">
        <v>481</v>
      </c>
      <c r="H498" t="s">
        <v>8</v>
      </c>
    </row>
    <row r="499" spans="1:8" x14ac:dyDescent="0.3">
      <c r="A499">
        <v>44</v>
      </c>
      <c r="B499" t="s">
        <v>2</v>
      </c>
      <c r="C499">
        <v>0</v>
      </c>
      <c r="D499">
        <v>373.27</v>
      </c>
      <c r="E499" s="8">
        <v>45791</v>
      </c>
      <c r="F499" t="s">
        <v>568</v>
      </c>
      <c r="G499">
        <v>957</v>
      </c>
      <c r="H499" t="s">
        <v>8</v>
      </c>
    </row>
    <row r="500" spans="1:8" x14ac:dyDescent="0.3">
      <c r="A500">
        <v>440</v>
      </c>
      <c r="B500" t="s">
        <v>3</v>
      </c>
      <c r="C500">
        <v>1</v>
      </c>
      <c r="D500">
        <v>358.65</v>
      </c>
      <c r="E500" s="8">
        <v>45792</v>
      </c>
      <c r="F500" t="s">
        <v>568</v>
      </c>
      <c r="G500">
        <v>698</v>
      </c>
      <c r="H500" t="s">
        <v>12</v>
      </c>
    </row>
    <row r="501" spans="1:8" x14ac:dyDescent="0.3">
      <c r="A501">
        <v>441</v>
      </c>
      <c r="B501" t="s">
        <v>2</v>
      </c>
      <c r="C501">
        <v>0</v>
      </c>
      <c r="D501">
        <v>239.84</v>
      </c>
      <c r="E501" s="8">
        <v>45775</v>
      </c>
      <c r="F501" s="8" t="s">
        <v>566</v>
      </c>
      <c r="G501">
        <v>858</v>
      </c>
      <c r="H501" t="s">
        <v>7</v>
      </c>
    </row>
    <row r="502" spans="1:8" x14ac:dyDescent="0.3">
      <c r="A502">
        <v>442</v>
      </c>
      <c r="B502" t="s">
        <v>2</v>
      </c>
      <c r="C502">
        <v>1</v>
      </c>
      <c r="D502">
        <v>339.49</v>
      </c>
      <c r="E502" s="8">
        <v>45814</v>
      </c>
      <c r="F502" s="8" t="s">
        <v>567</v>
      </c>
      <c r="G502">
        <v>408</v>
      </c>
      <c r="H502" t="s">
        <v>7</v>
      </c>
    </row>
    <row r="503" spans="1:8" x14ac:dyDescent="0.3">
      <c r="A503">
        <v>444</v>
      </c>
      <c r="B503" t="s">
        <v>2</v>
      </c>
      <c r="C503">
        <v>0</v>
      </c>
      <c r="D503">
        <v>487.51</v>
      </c>
      <c r="E503" s="8">
        <v>45796</v>
      </c>
      <c r="F503" t="s">
        <v>568</v>
      </c>
      <c r="G503">
        <v>734</v>
      </c>
      <c r="H503" t="s">
        <v>10</v>
      </c>
    </row>
    <row r="504" spans="1:8" x14ac:dyDescent="0.3">
      <c r="A504">
        <v>445</v>
      </c>
      <c r="B504" t="s">
        <v>2</v>
      </c>
      <c r="C504">
        <v>1</v>
      </c>
      <c r="D504">
        <v>195.86</v>
      </c>
      <c r="E504" s="8">
        <v>45783</v>
      </c>
      <c r="F504" t="s">
        <v>568</v>
      </c>
      <c r="G504">
        <v>852</v>
      </c>
      <c r="H504" t="s">
        <v>12</v>
      </c>
    </row>
    <row r="505" spans="1:8" x14ac:dyDescent="0.3">
      <c r="A505">
        <v>447</v>
      </c>
      <c r="B505" t="s">
        <v>3</v>
      </c>
      <c r="C505">
        <v>0</v>
      </c>
      <c r="D505">
        <v>433.9</v>
      </c>
      <c r="E505" s="8">
        <v>45766</v>
      </c>
      <c r="F505" s="8" t="s">
        <v>566</v>
      </c>
      <c r="G505">
        <v>727</v>
      </c>
      <c r="H505" t="s">
        <v>12</v>
      </c>
    </row>
    <row r="506" spans="1:8" x14ac:dyDescent="0.3">
      <c r="A506">
        <v>448</v>
      </c>
      <c r="B506" t="s">
        <v>3</v>
      </c>
      <c r="C506">
        <v>0</v>
      </c>
      <c r="D506">
        <v>319.3</v>
      </c>
      <c r="E506" s="8">
        <v>45776</v>
      </c>
      <c r="F506" s="8" t="s">
        <v>566</v>
      </c>
      <c r="G506">
        <v>143</v>
      </c>
      <c r="H506" t="s">
        <v>10</v>
      </c>
    </row>
    <row r="507" spans="1:8" x14ac:dyDescent="0.3">
      <c r="A507">
        <v>449</v>
      </c>
      <c r="B507" t="s">
        <v>2</v>
      </c>
      <c r="C507">
        <v>0</v>
      </c>
      <c r="D507">
        <v>274.72000000000003</v>
      </c>
      <c r="E507" s="8">
        <v>45800</v>
      </c>
      <c r="F507" t="s">
        <v>568</v>
      </c>
      <c r="G507">
        <v>749</v>
      </c>
      <c r="H507" t="s">
        <v>11</v>
      </c>
    </row>
    <row r="508" spans="1:8" x14ac:dyDescent="0.3">
      <c r="A508">
        <v>450</v>
      </c>
      <c r="B508" t="s">
        <v>3</v>
      </c>
      <c r="C508">
        <v>0</v>
      </c>
      <c r="D508">
        <v>540.03</v>
      </c>
      <c r="E508" s="8">
        <v>45777</v>
      </c>
      <c r="F508" s="8" t="s">
        <v>566</v>
      </c>
      <c r="G508">
        <v>640</v>
      </c>
      <c r="H508" t="s">
        <v>8</v>
      </c>
    </row>
    <row r="509" spans="1:8" x14ac:dyDescent="0.3">
      <c r="A509">
        <v>451</v>
      </c>
      <c r="B509" t="s">
        <v>2</v>
      </c>
      <c r="C509">
        <v>0</v>
      </c>
      <c r="D509">
        <v>485.52</v>
      </c>
      <c r="E509" s="8">
        <v>45762</v>
      </c>
      <c r="F509" s="8" t="s">
        <v>566</v>
      </c>
      <c r="G509">
        <v>997</v>
      </c>
      <c r="H509" t="s">
        <v>9</v>
      </c>
    </row>
    <row r="510" spans="1:8" x14ac:dyDescent="0.3">
      <c r="A510">
        <v>452</v>
      </c>
      <c r="B510" t="s">
        <v>3</v>
      </c>
      <c r="C510">
        <v>0</v>
      </c>
      <c r="D510">
        <v>341.2</v>
      </c>
      <c r="E510" s="8">
        <v>45772</v>
      </c>
      <c r="F510" s="8" t="s">
        <v>566</v>
      </c>
      <c r="G510">
        <v>605</v>
      </c>
      <c r="H510" t="s">
        <v>11</v>
      </c>
    </row>
    <row r="511" spans="1:8" x14ac:dyDescent="0.3">
      <c r="A511">
        <v>458</v>
      </c>
      <c r="B511" t="s">
        <v>3</v>
      </c>
      <c r="C511">
        <v>0</v>
      </c>
      <c r="D511">
        <v>670.95</v>
      </c>
      <c r="E511" s="8">
        <v>45797</v>
      </c>
      <c r="F511" t="s">
        <v>568</v>
      </c>
      <c r="G511">
        <v>613</v>
      </c>
      <c r="H511" t="s">
        <v>10</v>
      </c>
    </row>
    <row r="512" spans="1:8" x14ac:dyDescent="0.3">
      <c r="A512">
        <v>46</v>
      </c>
      <c r="B512" t="s">
        <v>3</v>
      </c>
      <c r="C512">
        <v>0</v>
      </c>
      <c r="D512">
        <v>133.43</v>
      </c>
      <c r="E512" s="8">
        <v>45822</v>
      </c>
      <c r="F512" s="8" t="s">
        <v>567</v>
      </c>
      <c r="G512">
        <v>386</v>
      </c>
      <c r="H512" t="s">
        <v>8</v>
      </c>
    </row>
    <row r="513" spans="1:8" x14ac:dyDescent="0.3">
      <c r="A513">
        <v>461</v>
      </c>
      <c r="B513" t="s">
        <v>2</v>
      </c>
      <c r="C513">
        <v>0</v>
      </c>
      <c r="D513">
        <v>439.03</v>
      </c>
      <c r="E513" s="8">
        <v>45804</v>
      </c>
      <c r="F513" t="s">
        <v>568</v>
      </c>
      <c r="G513">
        <v>607</v>
      </c>
      <c r="H513" t="s">
        <v>8</v>
      </c>
    </row>
    <row r="514" spans="1:8" x14ac:dyDescent="0.3">
      <c r="A514">
        <v>463</v>
      </c>
      <c r="B514" t="s">
        <v>3</v>
      </c>
      <c r="C514">
        <v>0</v>
      </c>
      <c r="D514">
        <v>418.95</v>
      </c>
      <c r="E514" s="8">
        <v>45821</v>
      </c>
      <c r="F514" s="8" t="s">
        <v>567</v>
      </c>
      <c r="G514">
        <v>497</v>
      </c>
      <c r="H514" t="s">
        <v>7</v>
      </c>
    </row>
    <row r="515" spans="1:8" x14ac:dyDescent="0.3">
      <c r="A515">
        <v>465</v>
      </c>
      <c r="B515" t="s">
        <v>2</v>
      </c>
      <c r="C515">
        <v>0</v>
      </c>
      <c r="D515">
        <v>572.22</v>
      </c>
      <c r="E515" s="8">
        <v>45822</v>
      </c>
      <c r="F515" s="8" t="s">
        <v>567</v>
      </c>
      <c r="G515">
        <v>783</v>
      </c>
      <c r="H515" t="s">
        <v>9</v>
      </c>
    </row>
    <row r="516" spans="1:8" x14ac:dyDescent="0.3">
      <c r="A516">
        <v>466</v>
      </c>
      <c r="B516" t="s">
        <v>2</v>
      </c>
      <c r="C516">
        <v>0</v>
      </c>
      <c r="D516">
        <v>573.78</v>
      </c>
      <c r="E516" s="8">
        <v>45764</v>
      </c>
      <c r="F516" s="8" t="s">
        <v>566</v>
      </c>
      <c r="G516">
        <v>538</v>
      </c>
      <c r="H516" t="s">
        <v>10</v>
      </c>
    </row>
    <row r="517" spans="1:8" x14ac:dyDescent="0.3">
      <c r="A517">
        <v>467</v>
      </c>
      <c r="B517" t="s">
        <v>3</v>
      </c>
      <c r="C517">
        <v>0</v>
      </c>
      <c r="D517">
        <v>425.23</v>
      </c>
      <c r="E517" s="8">
        <v>45767</v>
      </c>
      <c r="F517" s="8" t="s">
        <v>566</v>
      </c>
      <c r="G517">
        <v>220</v>
      </c>
      <c r="H517" t="s">
        <v>7</v>
      </c>
    </row>
    <row r="518" spans="1:8" x14ac:dyDescent="0.3">
      <c r="A518">
        <v>468</v>
      </c>
      <c r="B518" t="s">
        <v>3</v>
      </c>
      <c r="C518">
        <v>0</v>
      </c>
      <c r="D518">
        <v>334.88</v>
      </c>
      <c r="E518" s="8">
        <v>45782</v>
      </c>
      <c r="F518" t="s">
        <v>568</v>
      </c>
      <c r="G518">
        <v>273</v>
      </c>
      <c r="H518" t="s">
        <v>8</v>
      </c>
    </row>
    <row r="519" spans="1:8" x14ac:dyDescent="0.3">
      <c r="A519">
        <v>469</v>
      </c>
      <c r="B519" t="s">
        <v>2</v>
      </c>
      <c r="C519">
        <v>0</v>
      </c>
      <c r="D519">
        <v>316.23</v>
      </c>
      <c r="E519" s="8">
        <v>45802</v>
      </c>
      <c r="F519" t="s">
        <v>568</v>
      </c>
      <c r="G519">
        <v>180</v>
      </c>
      <c r="H519" t="s">
        <v>7</v>
      </c>
    </row>
    <row r="520" spans="1:8" x14ac:dyDescent="0.3">
      <c r="A520">
        <v>470</v>
      </c>
      <c r="B520" t="s">
        <v>3</v>
      </c>
      <c r="C520">
        <v>0</v>
      </c>
      <c r="D520">
        <v>526.46</v>
      </c>
      <c r="E520" s="8">
        <v>45777</v>
      </c>
      <c r="F520" s="8" t="s">
        <v>566</v>
      </c>
      <c r="G520">
        <v>664</v>
      </c>
      <c r="H520" t="s">
        <v>8</v>
      </c>
    </row>
    <row r="521" spans="1:8" x14ac:dyDescent="0.3">
      <c r="A521">
        <v>473</v>
      </c>
      <c r="B521" t="s">
        <v>2</v>
      </c>
      <c r="C521">
        <v>0</v>
      </c>
      <c r="D521">
        <v>270.72000000000003</v>
      </c>
      <c r="E521" s="8">
        <v>45777</v>
      </c>
      <c r="F521" s="8" t="s">
        <v>566</v>
      </c>
      <c r="G521">
        <v>820</v>
      </c>
      <c r="H521" t="s">
        <v>11</v>
      </c>
    </row>
    <row r="522" spans="1:8" x14ac:dyDescent="0.3">
      <c r="A522">
        <v>474</v>
      </c>
      <c r="B522" t="s">
        <v>3</v>
      </c>
      <c r="C522">
        <v>0</v>
      </c>
      <c r="D522">
        <v>549.22</v>
      </c>
      <c r="E522" s="8">
        <v>45761</v>
      </c>
      <c r="F522" s="8" t="s">
        <v>566</v>
      </c>
      <c r="G522">
        <v>190</v>
      </c>
      <c r="H522" t="s">
        <v>9</v>
      </c>
    </row>
    <row r="523" spans="1:8" x14ac:dyDescent="0.3">
      <c r="A523">
        <v>475</v>
      </c>
      <c r="B523" t="s">
        <v>3</v>
      </c>
      <c r="C523">
        <v>0</v>
      </c>
      <c r="D523">
        <v>513.94000000000005</v>
      </c>
      <c r="E523" s="8">
        <v>45775</v>
      </c>
      <c r="F523" s="8" t="s">
        <v>566</v>
      </c>
      <c r="G523">
        <v>831</v>
      </c>
      <c r="H523" t="s">
        <v>7</v>
      </c>
    </row>
    <row r="524" spans="1:8" x14ac:dyDescent="0.3">
      <c r="A524">
        <v>476</v>
      </c>
      <c r="B524" t="s">
        <v>3</v>
      </c>
      <c r="C524">
        <v>1</v>
      </c>
      <c r="D524">
        <v>302.38</v>
      </c>
      <c r="E524" s="8">
        <v>45794</v>
      </c>
      <c r="F524" t="s">
        <v>568</v>
      </c>
      <c r="G524">
        <v>511</v>
      </c>
      <c r="H524" t="s">
        <v>8</v>
      </c>
    </row>
    <row r="525" spans="1:8" x14ac:dyDescent="0.3">
      <c r="A525">
        <v>478</v>
      </c>
      <c r="B525" t="s">
        <v>3</v>
      </c>
      <c r="C525">
        <v>0</v>
      </c>
      <c r="D525">
        <v>162.44</v>
      </c>
      <c r="E525" s="8">
        <v>45761</v>
      </c>
      <c r="F525" s="8" t="s">
        <v>566</v>
      </c>
      <c r="G525">
        <v>957</v>
      </c>
      <c r="H525" t="s">
        <v>8</v>
      </c>
    </row>
    <row r="526" spans="1:8" x14ac:dyDescent="0.3">
      <c r="A526">
        <v>479</v>
      </c>
      <c r="B526" t="s">
        <v>2</v>
      </c>
      <c r="C526">
        <v>0</v>
      </c>
      <c r="D526">
        <v>413.62</v>
      </c>
      <c r="E526" s="8">
        <v>45797</v>
      </c>
      <c r="F526" t="s">
        <v>568</v>
      </c>
      <c r="G526">
        <v>908</v>
      </c>
      <c r="H526" t="s">
        <v>7</v>
      </c>
    </row>
    <row r="527" spans="1:8" x14ac:dyDescent="0.3">
      <c r="A527">
        <v>480</v>
      </c>
      <c r="B527" t="s">
        <v>2</v>
      </c>
      <c r="C527">
        <v>0</v>
      </c>
      <c r="D527">
        <v>821.72</v>
      </c>
      <c r="E527" s="8">
        <v>45771</v>
      </c>
      <c r="F527" s="8" t="s">
        <v>566</v>
      </c>
      <c r="G527">
        <v>455</v>
      </c>
      <c r="H527" t="s">
        <v>10</v>
      </c>
    </row>
    <row r="528" spans="1:8" x14ac:dyDescent="0.3">
      <c r="A528">
        <v>482</v>
      </c>
      <c r="B528" t="s">
        <v>3</v>
      </c>
      <c r="C528">
        <v>0</v>
      </c>
      <c r="D528">
        <v>306.89999999999998</v>
      </c>
      <c r="E528" s="8">
        <v>45801</v>
      </c>
      <c r="F528" t="s">
        <v>568</v>
      </c>
      <c r="G528">
        <v>272</v>
      </c>
      <c r="H528" t="s">
        <v>10</v>
      </c>
    </row>
    <row r="529" spans="1:8" x14ac:dyDescent="0.3">
      <c r="A529">
        <v>483</v>
      </c>
      <c r="B529" t="s">
        <v>2</v>
      </c>
      <c r="C529">
        <v>1</v>
      </c>
      <c r="D529">
        <v>358.54</v>
      </c>
      <c r="E529" s="8">
        <v>45814</v>
      </c>
      <c r="F529" s="8" t="s">
        <v>567</v>
      </c>
      <c r="G529">
        <v>547</v>
      </c>
      <c r="H529" t="s">
        <v>8</v>
      </c>
    </row>
    <row r="530" spans="1:8" x14ac:dyDescent="0.3">
      <c r="A530">
        <v>484</v>
      </c>
      <c r="B530" t="s">
        <v>3</v>
      </c>
      <c r="C530">
        <v>0</v>
      </c>
      <c r="D530">
        <v>209.26</v>
      </c>
      <c r="E530" s="8">
        <v>45773</v>
      </c>
      <c r="F530" s="8" t="s">
        <v>566</v>
      </c>
      <c r="G530">
        <v>218</v>
      </c>
      <c r="H530" t="s">
        <v>7</v>
      </c>
    </row>
    <row r="531" spans="1:8" x14ac:dyDescent="0.3">
      <c r="A531">
        <v>485</v>
      </c>
      <c r="B531" t="s">
        <v>2</v>
      </c>
      <c r="C531">
        <v>0</v>
      </c>
      <c r="D531">
        <v>225.79</v>
      </c>
      <c r="E531" s="8">
        <v>45821</v>
      </c>
      <c r="F531" s="8" t="s">
        <v>567</v>
      </c>
      <c r="G531">
        <v>822</v>
      </c>
      <c r="H531" t="s">
        <v>7</v>
      </c>
    </row>
    <row r="532" spans="1:8" x14ac:dyDescent="0.3">
      <c r="A532">
        <v>486</v>
      </c>
      <c r="B532" t="s">
        <v>3</v>
      </c>
      <c r="C532">
        <v>0</v>
      </c>
      <c r="D532">
        <v>291.32</v>
      </c>
      <c r="E532" s="8">
        <v>45766</v>
      </c>
      <c r="F532" s="8" t="s">
        <v>566</v>
      </c>
      <c r="G532">
        <v>241</v>
      </c>
      <c r="H532" t="s">
        <v>11</v>
      </c>
    </row>
    <row r="533" spans="1:8" x14ac:dyDescent="0.3">
      <c r="A533">
        <v>488</v>
      </c>
      <c r="B533" t="s">
        <v>2</v>
      </c>
      <c r="C533">
        <v>0</v>
      </c>
      <c r="D533">
        <v>479.79</v>
      </c>
      <c r="E533" s="8">
        <v>45792</v>
      </c>
      <c r="F533" t="s">
        <v>568</v>
      </c>
      <c r="G533">
        <v>682</v>
      </c>
      <c r="H533" t="s">
        <v>12</v>
      </c>
    </row>
    <row r="534" spans="1:8" x14ac:dyDescent="0.3">
      <c r="A534">
        <v>489</v>
      </c>
      <c r="B534" t="s">
        <v>2</v>
      </c>
      <c r="C534">
        <v>0</v>
      </c>
      <c r="D534">
        <v>378.07</v>
      </c>
      <c r="E534" s="8">
        <v>45821</v>
      </c>
      <c r="F534" s="8" t="s">
        <v>567</v>
      </c>
      <c r="G534">
        <v>693</v>
      </c>
      <c r="H534" t="s">
        <v>10</v>
      </c>
    </row>
    <row r="535" spans="1:8" x14ac:dyDescent="0.3">
      <c r="A535">
        <v>490</v>
      </c>
      <c r="B535" t="s">
        <v>3</v>
      </c>
      <c r="C535">
        <v>0</v>
      </c>
      <c r="D535">
        <v>454.26</v>
      </c>
      <c r="E535" s="8">
        <v>45801</v>
      </c>
      <c r="F535" t="s">
        <v>568</v>
      </c>
      <c r="G535">
        <v>854</v>
      </c>
      <c r="H535" t="s">
        <v>12</v>
      </c>
    </row>
    <row r="536" spans="1:8" x14ac:dyDescent="0.3">
      <c r="A536">
        <v>491</v>
      </c>
      <c r="B536" t="s">
        <v>2</v>
      </c>
      <c r="C536">
        <v>0</v>
      </c>
      <c r="D536">
        <v>560.98</v>
      </c>
      <c r="E536" s="8">
        <v>45800</v>
      </c>
      <c r="F536" t="s">
        <v>568</v>
      </c>
      <c r="G536">
        <v>699</v>
      </c>
      <c r="H536" t="s">
        <v>10</v>
      </c>
    </row>
    <row r="537" spans="1:8" x14ac:dyDescent="0.3">
      <c r="A537">
        <v>495</v>
      </c>
      <c r="B537" t="s">
        <v>2</v>
      </c>
      <c r="C537">
        <v>0</v>
      </c>
      <c r="D537">
        <v>780.29</v>
      </c>
      <c r="E537" s="8">
        <v>45776</v>
      </c>
      <c r="F537" s="8" t="s">
        <v>566</v>
      </c>
      <c r="G537">
        <v>762</v>
      </c>
      <c r="H537" t="s">
        <v>11</v>
      </c>
    </row>
    <row r="538" spans="1:8" x14ac:dyDescent="0.3">
      <c r="A538">
        <v>497</v>
      </c>
      <c r="B538" t="s">
        <v>3</v>
      </c>
      <c r="C538">
        <v>1</v>
      </c>
      <c r="D538">
        <v>322.48</v>
      </c>
      <c r="E538" s="8">
        <v>45790</v>
      </c>
      <c r="F538" t="s">
        <v>568</v>
      </c>
      <c r="G538">
        <v>588</v>
      </c>
      <c r="H538" t="s">
        <v>12</v>
      </c>
    </row>
    <row r="539" spans="1:8" x14ac:dyDescent="0.3">
      <c r="A539">
        <v>498</v>
      </c>
      <c r="B539" t="s">
        <v>2</v>
      </c>
      <c r="C539">
        <v>0</v>
      </c>
      <c r="D539">
        <v>509.91</v>
      </c>
      <c r="E539" s="8">
        <v>45802</v>
      </c>
      <c r="F539" t="s">
        <v>568</v>
      </c>
      <c r="G539">
        <v>9</v>
      </c>
      <c r="H539" t="s">
        <v>11</v>
      </c>
    </row>
    <row r="540" spans="1:8" x14ac:dyDescent="0.3">
      <c r="A540">
        <v>500</v>
      </c>
      <c r="B540" t="s">
        <v>2</v>
      </c>
      <c r="C540">
        <v>0</v>
      </c>
      <c r="D540">
        <v>680.33</v>
      </c>
      <c r="E540" s="8">
        <v>45773</v>
      </c>
      <c r="F540" s="8" t="s">
        <v>566</v>
      </c>
      <c r="G540">
        <v>348</v>
      </c>
      <c r="H540" t="s">
        <v>7</v>
      </c>
    </row>
    <row r="541" spans="1:8" x14ac:dyDescent="0.3">
      <c r="A541">
        <v>503</v>
      </c>
      <c r="B541" t="s">
        <v>2</v>
      </c>
      <c r="C541">
        <v>0</v>
      </c>
      <c r="D541">
        <v>297.86</v>
      </c>
      <c r="E541" s="8">
        <v>45799</v>
      </c>
      <c r="F541" t="s">
        <v>568</v>
      </c>
      <c r="G541">
        <v>341</v>
      </c>
      <c r="H541" t="s">
        <v>8</v>
      </c>
    </row>
    <row r="542" spans="1:8" x14ac:dyDescent="0.3">
      <c r="A542">
        <v>504</v>
      </c>
      <c r="B542" t="s">
        <v>3</v>
      </c>
      <c r="C542">
        <v>0</v>
      </c>
      <c r="D542">
        <v>458.7</v>
      </c>
      <c r="E542" s="8">
        <v>45812</v>
      </c>
      <c r="F542" s="8" t="s">
        <v>567</v>
      </c>
      <c r="G542">
        <v>795</v>
      </c>
      <c r="H542" t="s">
        <v>7</v>
      </c>
    </row>
    <row r="543" spans="1:8" x14ac:dyDescent="0.3">
      <c r="A543">
        <v>505</v>
      </c>
      <c r="B543" t="s">
        <v>3</v>
      </c>
      <c r="C543">
        <v>0</v>
      </c>
      <c r="D543">
        <v>492.34</v>
      </c>
      <c r="E543" s="8">
        <v>45800</v>
      </c>
      <c r="F543" t="s">
        <v>568</v>
      </c>
      <c r="G543">
        <v>36</v>
      </c>
      <c r="H543" t="s">
        <v>8</v>
      </c>
    </row>
    <row r="544" spans="1:8" x14ac:dyDescent="0.3">
      <c r="A544">
        <v>506</v>
      </c>
      <c r="B544" t="s">
        <v>2</v>
      </c>
      <c r="C544">
        <v>0</v>
      </c>
      <c r="D544">
        <v>570.95000000000005</v>
      </c>
      <c r="E544" s="8">
        <v>45770</v>
      </c>
      <c r="F544" s="8" t="s">
        <v>566</v>
      </c>
      <c r="G544">
        <v>963</v>
      </c>
      <c r="H544" t="s">
        <v>7</v>
      </c>
    </row>
    <row r="545" spans="1:8" x14ac:dyDescent="0.3">
      <c r="A545">
        <v>509</v>
      </c>
      <c r="B545" t="s">
        <v>2</v>
      </c>
      <c r="C545">
        <v>0</v>
      </c>
      <c r="D545">
        <v>253.64</v>
      </c>
      <c r="E545" s="8">
        <v>45792</v>
      </c>
      <c r="F545" t="s">
        <v>568</v>
      </c>
      <c r="G545">
        <v>663</v>
      </c>
      <c r="H545" t="s">
        <v>10</v>
      </c>
    </row>
    <row r="546" spans="1:8" x14ac:dyDescent="0.3">
      <c r="A546">
        <v>510</v>
      </c>
      <c r="B546" t="s">
        <v>2</v>
      </c>
      <c r="C546">
        <v>0</v>
      </c>
      <c r="D546">
        <v>227.01</v>
      </c>
      <c r="E546" s="8">
        <v>45777</v>
      </c>
      <c r="F546" s="8" t="s">
        <v>566</v>
      </c>
      <c r="G546">
        <v>892</v>
      </c>
      <c r="H546" t="s">
        <v>7</v>
      </c>
    </row>
    <row r="547" spans="1:8" x14ac:dyDescent="0.3">
      <c r="A547">
        <v>511</v>
      </c>
      <c r="B547" t="s">
        <v>2</v>
      </c>
      <c r="C547">
        <v>0</v>
      </c>
      <c r="D547">
        <v>515.44000000000005</v>
      </c>
      <c r="E547" s="8">
        <v>45751</v>
      </c>
      <c r="F547" s="8" t="s">
        <v>566</v>
      </c>
      <c r="G547">
        <v>754</v>
      </c>
      <c r="H547" t="s">
        <v>11</v>
      </c>
    </row>
    <row r="548" spans="1:8" x14ac:dyDescent="0.3">
      <c r="A548">
        <v>512</v>
      </c>
      <c r="B548" t="s">
        <v>3</v>
      </c>
      <c r="C548">
        <v>0</v>
      </c>
      <c r="D548">
        <v>412.13</v>
      </c>
      <c r="E548" s="8">
        <v>45753</v>
      </c>
      <c r="F548" s="8" t="s">
        <v>566</v>
      </c>
      <c r="G548">
        <v>682</v>
      </c>
      <c r="H548" t="s">
        <v>12</v>
      </c>
    </row>
    <row r="549" spans="1:8" x14ac:dyDescent="0.3">
      <c r="A549">
        <v>513</v>
      </c>
      <c r="B549" t="s">
        <v>2</v>
      </c>
      <c r="C549">
        <v>0</v>
      </c>
      <c r="D549">
        <v>441.25</v>
      </c>
      <c r="E549" s="8">
        <v>45822</v>
      </c>
      <c r="F549" s="8" t="s">
        <v>567</v>
      </c>
      <c r="G549">
        <v>474</v>
      </c>
      <c r="H549" t="s">
        <v>8</v>
      </c>
    </row>
    <row r="550" spans="1:8" x14ac:dyDescent="0.3">
      <c r="A550">
        <v>514</v>
      </c>
      <c r="B550" t="s">
        <v>3</v>
      </c>
      <c r="C550">
        <v>0</v>
      </c>
      <c r="D550">
        <v>599.54</v>
      </c>
      <c r="E550" s="8">
        <v>45825</v>
      </c>
      <c r="F550" s="8" t="s">
        <v>567</v>
      </c>
      <c r="G550">
        <v>397</v>
      </c>
      <c r="H550" t="s">
        <v>8</v>
      </c>
    </row>
    <row r="551" spans="1:8" x14ac:dyDescent="0.3">
      <c r="A551">
        <v>515</v>
      </c>
      <c r="B551" t="s">
        <v>2</v>
      </c>
      <c r="C551">
        <v>0</v>
      </c>
      <c r="D551">
        <v>627.9</v>
      </c>
      <c r="E551" s="8">
        <v>45797</v>
      </c>
      <c r="F551" t="s">
        <v>568</v>
      </c>
      <c r="G551">
        <v>189</v>
      </c>
      <c r="H551" t="s">
        <v>7</v>
      </c>
    </row>
    <row r="552" spans="1:8" x14ac:dyDescent="0.3">
      <c r="A552">
        <v>516</v>
      </c>
      <c r="B552" t="s">
        <v>2</v>
      </c>
      <c r="C552">
        <v>0</v>
      </c>
      <c r="D552">
        <v>390.32</v>
      </c>
      <c r="E552" s="8">
        <v>45781</v>
      </c>
      <c r="F552" t="s">
        <v>568</v>
      </c>
      <c r="G552">
        <v>617</v>
      </c>
      <c r="H552" t="s">
        <v>10</v>
      </c>
    </row>
    <row r="553" spans="1:8" x14ac:dyDescent="0.3">
      <c r="A553">
        <v>517</v>
      </c>
      <c r="B553" t="s">
        <v>2</v>
      </c>
      <c r="C553">
        <v>0</v>
      </c>
      <c r="D553">
        <v>254.46</v>
      </c>
      <c r="E553" s="8">
        <v>45813</v>
      </c>
      <c r="F553" s="8" t="s">
        <v>567</v>
      </c>
      <c r="G553">
        <v>525</v>
      </c>
      <c r="H553" t="s">
        <v>9</v>
      </c>
    </row>
    <row r="554" spans="1:8" x14ac:dyDescent="0.3">
      <c r="A554">
        <v>518</v>
      </c>
      <c r="B554" t="s">
        <v>2</v>
      </c>
      <c r="C554">
        <v>0</v>
      </c>
      <c r="D554">
        <v>544.28</v>
      </c>
      <c r="E554" s="8">
        <v>45781</v>
      </c>
      <c r="F554" t="s">
        <v>568</v>
      </c>
      <c r="G554">
        <v>455</v>
      </c>
      <c r="H554" t="s">
        <v>10</v>
      </c>
    </row>
    <row r="555" spans="1:8" x14ac:dyDescent="0.3">
      <c r="A555">
        <v>52</v>
      </c>
      <c r="B555" t="s">
        <v>2</v>
      </c>
      <c r="C555">
        <v>0</v>
      </c>
      <c r="D555">
        <v>646.63</v>
      </c>
      <c r="E555" s="8">
        <v>45798</v>
      </c>
      <c r="F555" t="s">
        <v>568</v>
      </c>
      <c r="G555">
        <v>438</v>
      </c>
      <c r="H555" t="s">
        <v>7</v>
      </c>
    </row>
    <row r="556" spans="1:8" x14ac:dyDescent="0.3">
      <c r="A556">
        <v>521</v>
      </c>
      <c r="B556" t="s">
        <v>3</v>
      </c>
      <c r="C556">
        <v>0</v>
      </c>
      <c r="D556">
        <v>538</v>
      </c>
      <c r="E556" s="8">
        <v>45781</v>
      </c>
      <c r="F556" t="s">
        <v>568</v>
      </c>
      <c r="G556">
        <v>851</v>
      </c>
      <c r="H556" t="s">
        <v>8</v>
      </c>
    </row>
    <row r="557" spans="1:8" x14ac:dyDescent="0.3">
      <c r="A557">
        <v>524</v>
      </c>
      <c r="B557" t="s">
        <v>3</v>
      </c>
      <c r="C557">
        <v>1</v>
      </c>
      <c r="D557">
        <v>284.64999999999998</v>
      </c>
      <c r="E557" s="8">
        <v>45792</v>
      </c>
      <c r="F557" t="s">
        <v>568</v>
      </c>
      <c r="G557">
        <v>144</v>
      </c>
      <c r="H557" t="s">
        <v>7</v>
      </c>
    </row>
    <row r="558" spans="1:8" x14ac:dyDescent="0.3">
      <c r="A558">
        <v>525</v>
      </c>
      <c r="B558" t="s">
        <v>3</v>
      </c>
      <c r="C558">
        <v>0</v>
      </c>
      <c r="D558">
        <v>380.43</v>
      </c>
      <c r="E558" s="8">
        <v>45798</v>
      </c>
      <c r="F558" t="s">
        <v>568</v>
      </c>
      <c r="G558">
        <v>908</v>
      </c>
      <c r="H558" t="s">
        <v>7</v>
      </c>
    </row>
    <row r="559" spans="1:8" x14ac:dyDescent="0.3">
      <c r="A559">
        <v>527</v>
      </c>
      <c r="B559" t="s">
        <v>2</v>
      </c>
      <c r="C559">
        <v>0</v>
      </c>
      <c r="D559">
        <v>420.5</v>
      </c>
      <c r="E559" s="8">
        <v>45805</v>
      </c>
      <c r="F559" t="s">
        <v>568</v>
      </c>
      <c r="G559">
        <v>160</v>
      </c>
      <c r="H559" t="s">
        <v>7</v>
      </c>
    </row>
    <row r="560" spans="1:8" x14ac:dyDescent="0.3">
      <c r="A560">
        <v>528</v>
      </c>
      <c r="B560" t="s">
        <v>3</v>
      </c>
      <c r="C560">
        <v>1</v>
      </c>
      <c r="D560">
        <v>333.83</v>
      </c>
      <c r="E560" s="8">
        <v>45794</v>
      </c>
      <c r="F560" t="s">
        <v>568</v>
      </c>
      <c r="G560">
        <v>921</v>
      </c>
      <c r="H560" t="s">
        <v>9</v>
      </c>
    </row>
    <row r="561" spans="1:8" x14ac:dyDescent="0.3">
      <c r="A561">
        <v>529</v>
      </c>
      <c r="B561" t="s">
        <v>3</v>
      </c>
      <c r="C561">
        <v>0</v>
      </c>
      <c r="D561">
        <v>341.18</v>
      </c>
      <c r="E561" s="8">
        <v>45761</v>
      </c>
      <c r="F561" s="8" t="s">
        <v>566</v>
      </c>
      <c r="G561">
        <v>566</v>
      </c>
      <c r="H561" t="s">
        <v>9</v>
      </c>
    </row>
    <row r="562" spans="1:8" x14ac:dyDescent="0.3">
      <c r="A562">
        <v>53</v>
      </c>
      <c r="B562" t="s">
        <v>2</v>
      </c>
      <c r="C562">
        <v>0</v>
      </c>
      <c r="D562">
        <v>324.33</v>
      </c>
      <c r="E562" s="8">
        <v>45761</v>
      </c>
      <c r="F562" s="8" t="s">
        <v>566</v>
      </c>
      <c r="G562">
        <v>885</v>
      </c>
      <c r="H562" t="s">
        <v>11</v>
      </c>
    </row>
    <row r="563" spans="1:8" x14ac:dyDescent="0.3">
      <c r="A563">
        <v>530</v>
      </c>
      <c r="B563" t="s">
        <v>3</v>
      </c>
      <c r="C563">
        <v>0</v>
      </c>
      <c r="D563">
        <v>547.16</v>
      </c>
      <c r="E563" s="8">
        <v>45766</v>
      </c>
      <c r="F563" s="8" t="s">
        <v>566</v>
      </c>
      <c r="G563">
        <v>398</v>
      </c>
      <c r="H563" t="s">
        <v>11</v>
      </c>
    </row>
    <row r="564" spans="1:8" x14ac:dyDescent="0.3">
      <c r="A564">
        <v>531</v>
      </c>
      <c r="B564" t="s">
        <v>3</v>
      </c>
      <c r="C564">
        <v>0</v>
      </c>
      <c r="D564">
        <v>417.74</v>
      </c>
      <c r="E564" s="8">
        <v>45807</v>
      </c>
      <c r="F564" t="s">
        <v>568</v>
      </c>
      <c r="G564">
        <v>900</v>
      </c>
      <c r="H564" t="s">
        <v>7</v>
      </c>
    </row>
    <row r="565" spans="1:8" x14ac:dyDescent="0.3">
      <c r="A565">
        <v>534</v>
      </c>
      <c r="B565" t="s">
        <v>3</v>
      </c>
      <c r="C565">
        <v>0</v>
      </c>
      <c r="D565">
        <v>385.1</v>
      </c>
      <c r="E565" s="8">
        <v>45769</v>
      </c>
      <c r="F565" s="8" t="s">
        <v>566</v>
      </c>
      <c r="G565">
        <v>652</v>
      </c>
      <c r="H565" t="s">
        <v>7</v>
      </c>
    </row>
    <row r="566" spans="1:8" x14ac:dyDescent="0.3">
      <c r="A566">
        <v>535</v>
      </c>
      <c r="B566" t="s">
        <v>3</v>
      </c>
      <c r="C566">
        <v>0</v>
      </c>
      <c r="D566">
        <v>568.88</v>
      </c>
      <c r="E566" s="8">
        <v>45808</v>
      </c>
      <c r="F566" t="s">
        <v>568</v>
      </c>
      <c r="G566">
        <v>174</v>
      </c>
      <c r="H566" t="s">
        <v>7</v>
      </c>
    </row>
    <row r="567" spans="1:8" x14ac:dyDescent="0.3">
      <c r="A567">
        <v>536</v>
      </c>
      <c r="B567" t="s">
        <v>3</v>
      </c>
      <c r="C567">
        <v>0</v>
      </c>
      <c r="D567">
        <v>390.51</v>
      </c>
      <c r="E567" s="8">
        <v>45813</v>
      </c>
      <c r="F567" s="8" t="s">
        <v>567</v>
      </c>
      <c r="G567">
        <v>47</v>
      </c>
      <c r="H567" t="s">
        <v>7</v>
      </c>
    </row>
    <row r="568" spans="1:8" x14ac:dyDescent="0.3">
      <c r="A568">
        <v>537</v>
      </c>
      <c r="B568" t="s">
        <v>2</v>
      </c>
      <c r="C568">
        <v>0</v>
      </c>
      <c r="D568">
        <v>254.97</v>
      </c>
      <c r="E568" s="8">
        <v>45777</v>
      </c>
      <c r="F568" s="8" t="s">
        <v>566</v>
      </c>
      <c r="G568">
        <v>897</v>
      </c>
      <c r="H568" t="s">
        <v>8</v>
      </c>
    </row>
    <row r="569" spans="1:8" x14ac:dyDescent="0.3">
      <c r="A569">
        <v>538</v>
      </c>
      <c r="B569" t="s">
        <v>3</v>
      </c>
      <c r="C569">
        <v>0</v>
      </c>
      <c r="D569">
        <v>502.9</v>
      </c>
      <c r="E569" s="8">
        <v>45813</v>
      </c>
      <c r="F569" s="8" t="s">
        <v>567</v>
      </c>
      <c r="G569">
        <v>739</v>
      </c>
      <c r="H569" t="s">
        <v>12</v>
      </c>
    </row>
    <row r="570" spans="1:8" x14ac:dyDescent="0.3">
      <c r="A570">
        <v>539</v>
      </c>
      <c r="B570" t="s">
        <v>2</v>
      </c>
      <c r="C570">
        <v>0</v>
      </c>
      <c r="D570">
        <v>506.48</v>
      </c>
      <c r="E570" s="8">
        <v>45773</v>
      </c>
      <c r="F570" s="8" t="s">
        <v>566</v>
      </c>
      <c r="G570">
        <v>422</v>
      </c>
      <c r="H570" t="s">
        <v>10</v>
      </c>
    </row>
    <row r="571" spans="1:8" x14ac:dyDescent="0.3">
      <c r="A571">
        <v>54</v>
      </c>
      <c r="B571" t="s">
        <v>3</v>
      </c>
      <c r="C571">
        <v>0</v>
      </c>
      <c r="D571">
        <v>416.34</v>
      </c>
      <c r="E571" s="8">
        <v>45805</v>
      </c>
      <c r="F571" t="s">
        <v>568</v>
      </c>
      <c r="G571">
        <v>517</v>
      </c>
      <c r="H571" t="s">
        <v>10</v>
      </c>
    </row>
    <row r="572" spans="1:8" x14ac:dyDescent="0.3">
      <c r="A572">
        <v>541</v>
      </c>
      <c r="B572" t="s">
        <v>3</v>
      </c>
      <c r="C572">
        <v>0</v>
      </c>
      <c r="D572">
        <v>505.76</v>
      </c>
      <c r="E572" s="8">
        <v>45774</v>
      </c>
      <c r="F572" s="8" t="s">
        <v>566</v>
      </c>
      <c r="G572">
        <v>877</v>
      </c>
      <c r="H572" t="s">
        <v>8</v>
      </c>
    </row>
    <row r="573" spans="1:8" x14ac:dyDescent="0.3">
      <c r="A573">
        <v>542</v>
      </c>
      <c r="B573" t="s">
        <v>2</v>
      </c>
      <c r="C573">
        <v>0</v>
      </c>
      <c r="D573">
        <v>382.14</v>
      </c>
      <c r="E573" s="8">
        <v>45801</v>
      </c>
      <c r="F573" t="s">
        <v>568</v>
      </c>
      <c r="G573">
        <v>771</v>
      </c>
      <c r="H573" t="s">
        <v>12</v>
      </c>
    </row>
    <row r="574" spans="1:8" x14ac:dyDescent="0.3">
      <c r="A574">
        <v>543</v>
      </c>
      <c r="B574" t="s">
        <v>2</v>
      </c>
      <c r="C574">
        <v>0</v>
      </c>
      <c r="D574">
        <v>403.83</v>
      </c>
      <c r="E574" s="8">
        <v>45773</v>
      </c>
      <c r="F574" s="8" t="s">
        <v>566</v>
      </c>
      <c r="G574">
        <v>896</v>
      </c>
      <c r="H574" t="s">
        <v>12</v>
      </c>
    </row>
    <row r="575" spans="1:8" x14ac:dyDescent="0.3">
      <c r="A575">
        <v>545</v>
      </c>
      <c r="B575" t="s">
        <v>2</v>
      </c>
      <c r="C575">
        <v>0</v>
      </c>
      <c r="D575">
        <v>391.91</v>
      </c>
      <c r="E575" s="8">
        <v>45752</v>
      </c>
      <c r="F575" s="8" t="s">
        <v>566</v>
      </c>
      <c r="G575">
        <v>99</v>
      </c>
      <c r="H575" t="s">
        <v>11</v>
      </c>
    </row>
    <row r="576" spans="1:8" x14ac:dyDescent="0.3">
      <c r="A576">
        <v>546</v>
      </c>
      <c r="B576" t="s">
        <v>2</v>
      </c>
      <c r="C576">
        <v>0</v>
      </c>
      <c r="D576">
        <v>184.6</v>
      </c>
      <c r="E576" s="8">
        <v>45775</v>
      </c>
      <c r="F576" s="8" t="s">
        <v>566</v>
      </c>
      <c r="G576">
        <v>787</v>
      </c>
      <c r="H576" t="s">
        <v>9</v>
      </c>
    </row>
    <row r="577" spans="1:8" x14ac:dyDescent="0.3">
      <c r="A577">
        <v>548</v>
      </c>
      <c r="B577" t="s">
        <v>3</v>
      </c>
      <c r="C577">
        <v>0</v>
      </c>
      <c r="D577">
        <v>635.79999999999995</v>
      </c>
      <c r="E577" s="8">
        <v>45772</v>
      </c>
      <c r="F577" s="8" t="s">
        <v>566</v>
      </c>
      <c r="G577">
        <v>916</v>
      </c>
      <c r="H577" t="s">
        <v>11</v>
      </c>
    </row>
    <row r="578" spans="1:8" x14ac:dyDescent="0.3">
      <c r="A578">
        <v>55</v>
      </c>
      <c r="B578" t="s">
        <v>2</v>
      </c>
      <c r="C578">
        <v>0</v>
      </c>
      <c r="D578">
        <v>355.12</v>
      </c>
      <c r="E578" s="8">
        <v>45764</v>
      </c>
      <c r="F578" s="8" t="s">
        <v>566</v>
      </c>
      <c r="G578">
        <v>511</v>
      </c>
      <c r="H578" t="s">
        <v>8</v>
      </c>
    </row>
    <row r="579" spans="1:8" x14ac:dyDescent="0.3">
      <c r="A579">
        <v>550</v>
      </c>
      <c r="B579" t="s">
        <v>2</v>
      </c>
      <c r="C579">
        <v>0</v>
      </c>
      <c r="D579">
        <v>335.22</v>
      </c>
      <c r="E579" s="8">
        <v>45793</v>
      </c>
      <c r="F579" t="s">
        <v>568</v>
      </c>
      <c r="G579">
        <v>190</v>
      </c>
      <c r="H579" t="s">
        <v>9</v>
      </c>
    </row>
    <row r="580" spans="1:8" x14ac:dyDescent="0.3">
      <c r="A580">
        <v>551</v>
      </c>
      <c r="B580" t="s">
        <v>2</v>
      </c>
      <c r="C580">
        <v>0</v>
      </c>
      <c r="D580">
        <v>274.52999999999997</v>
      </c>
      <c r="E580" s="8">
        <v>45808</v>
      </c>
      <c r="F580" t="s">
        <v>568</v>
      </c>
      <c r="G580">
        <v>398</v>
      </c>
      <c r="H580" t="s">
        <v>11</v>
      </c>
    </row>
    <row r="581" spans="1:8" x14ac:dyDescent="0.3">
      <c r="A581">
        <v>552</v>
      </c>
      <c r="B581" t="s">
        <v>3</v>
      </c>
      <c r="C581">
        <v>1</v>
      </c>
      <c r="D581">
        <v>377.54</v>
      </c>
      <c r="E581" s="8">
        <v>45792</v>
      </c>
      <c r="F581" t="s">
        <v>568</v>
      </c>
      <c r="G581">
        <v>54</v>
      </c>
      <c r="H581" t="s">
        <v>9</v>
      </c>
    </row>
    <row r="582" spans="1:8" x14ac:dyDescent="0.3">
      <c r="A582">
        <v>553</v>
      </c>
      <c r="B582" t="s">
        <v>3</v>
      </c>
      <c r="C582">
        <v>1</v>
      </c>
      <c r="D582">
        <v>276.39</v>
      </c>
      <c r="E582" s="8">
        <v>45795</v>
      </c>
      <c r="F582" t="s">
        <v>568</v>
      </c>
      <c r="G582">
        <v>804</v>
      </c>
      <c r="H582" t="s">
        <v>9</v>
      </c>
    </row>
    <row r="583" spans="1:8" x14ac:dyDescent="0.3">
      <c r="A583">
        <v>554</v>
      </c>
      <c r="B583" t="s">
        <v>2</v>
      </c>
      <c r="C583">
        <v>0</v>
      </c>
      <c r="D583">
        <v>322.94</v>
      </c>
      <c r="E583" s="8">
        <v>45821</v>
      </c>
      <c r="F583" s="8" t="s">
        <v>567</v>
      </c>
      <c r="G583">
        <v>861</v>
      </c>
      <c r="H583" t="s">
        <v>12</v>
      </c>
    </row>
    <row r="584" spans="1:8" x14ac:dyDescent="0.3">
      <c r="A584">
        <v>555</v>
      </c>
      <c r="B584" t="s">
        <v>3</v>
      </c>
      <c r="C584">
        <v>0</v>
      </c>
      <c r="D584">
        <v>376.87</v>
      </c>
      <c r="E584" s="8">
        <v>45802</v>
      </c>
      <c r="F584" t="s">
        <v>568</v>
      </c>
      <c r="G584">
        <v>997</v>
      </c>
      <c r="H584" t="s">
        <v>9</v>
      </c>
    </row>
    <row r="585" spans="1:8" x14ac:dyDescent="0.3">
      <c r="A585">
        <v>556</v>
      </c>
      <c r="B585" t="s">
        <v>2</v>
      </c>
      <c r="C585">
        <v>0</v>
      </c>
      <c r="D585">
        <v>553.83000000000004</v>
      </c>
      <c r="E585" s="8">
        <v>45777</v>
      </c>
      <c r="F585" s="8" t="s">
        <v>566</v>
      </c>
      <c r="G585">
        <v>751</v>
      </c>
      <c r="H585" t="s">
        <v>8</v>
      </c>
    </row>
    <row r="586" spans="1:8" x14ac:dyDescent="0.3">
      <c r="A586">
        <v>557</v>
      </c>
      <c r="B586" t="s">
        <v>3</v>
      </c>
      <c r="C586">
        <v>0</v>
      </c>
      <c r="D586">
        <v>423.11</v>
      </c>
      <c r="E586" s="8">
        <v>45772</v>
      </c>
      <c r="F586" s="8" t="s">
        <v>566</v>
      </c>
      <c r="G586">
        <v>194</v>
      </c>
      <c r="H586" t="s">
        <v>10</v>
      </c>
    </row>
    <row r="587" spans="1:8" x14ac:dyDescent="0.3">
      <c r="A587">
        <v>558</v>
      </c>
      <c r="B587" t="s">
        <v>3</v>
      </c>
      <c r="C587">
        <v>1</v>
      </c>
      <c r="D587">
        <v>191.33</v>
      </c>
      <c r="E587" s="8">
        <v>45794</v>
      </c>
      <c r="F587" t="s">
        <v>568</v>
      </c>
      <c r="G587">
        <v>525</v>
      </c>
      <c r="H587" t="s">
        <v>9</v>
      </c>
    </row>
    <row r="588" spans="1:8" x14ac:dyDescent="0.3">
      <c r="A588">
        <v>559</v>
      </c>
      <c r="B588" t="s">
        <v>2</v>
      </c>
      <c r="C588">
        <v>1</v>
      </c>
      <c r="D588">
        <v>393</v>
      </c>
      <c r="E588" s="8">
        <v>45753</v>
      </c>
      <c r="F588" s="8" t="s">
        <v>566</v>
      </c>
      <c r="G588">
        <v>192</v>
      </c>
      <c r="H588" t="s">
        <v>11</v>
      </c>
    </row>
    <row r="589" spans="1:8" x14ac:dyDescent="0.3">
      <c r="A589">
        <v>56</v>
      </c>
      <c r="B589" t="s">
        <v>3</v>
      </c>
      <c r="C589">
        <v>0</v>
      </c>
      <c r="D589">
        <v>337.98</v>
      </c>
      <c r="E589" s="8">
        <v>45806</v>
      </c>
      <c r="F589" t="s">
        <v>568</v>
      </c>
      <c r="G589">
        <v>223</v>
      </c>
      <c r="H589" t="s">
        <v>7</v>
      </c>
    </row>
    <row r="590" spans="1:8" x14ac:dyDescent="0.3">
      <c r="A590">
        <v>561</v>
      </c>
      <c r="B590" t="s">
        <v>2</v>
      </c>
      <c r="C590">
        <v>1</v>
      </c>
      <c r="D590">
        <v>416.29</v>
      </c>
      <c r="E590" s="8">
        <v>45814</v>
      </c>
      <c r="F590" s="8" t="s">
        <v>567</v>
      </c>
      <c r="G590">
        <v>829</v>
      </c>
      <c r="H590" t="s">
        <v>12</v>
      </c>
    </row>
    <row r="591" spans="1:8" x14ac:dyDescent="0.3">
      <c r="A591">
        <v>562</v>
      </c>
      <c r="B591" t="s">
        <v>3</v>
      </c>
      <c r="C591">
        <v>0</v>
      </c>
      <c r="D591">
        <v>552.4</v>
      </c>
      <c r="E591" s="8">
        <v>45765</v>
      </c>
      <c r="F591" s="8" t="s">
        <v>566</v>
      </c>
      <c r="G591">
        <v>225</v>
      </c>
      <c r="H591" t="s">
        <v>8</v>
      </c>
    </row>
    <row r="592" spans="1:8" x14ac:dyDescent="0.3">
      <c r="A592">
        <v>564</v>
      </c>
      <c r="B592" t="s">
        <v>2</v>
      </c>
      <c r="C592">
        <v>0</v>
      </c>
      <c r="D592">
        <v>351.54</v>
      </c>
      <c r="E592" s="8">
        <v>45805</v>
      </c>
      <c r="F592" t="s">
        <v>568</v>
      </c>
      <c r="G592">
        <v>511</v>
      </c>
      <c r="H592" t="s">
        <v>8</v>
      </c>
    </row>
    <row r="593" spans="1:8" x14ac:dyDescent="0.3">
      <c r="A593">
        <v>565</v>
      </c>
      <c r="B593" t="s">
        <v>2</v>
      </c>
      <c r="C593">
        <v>0</v>
      </c>
      <c r="D593">
        <v>448.32</v>
      </c>
      <c r="E593" s="8">
        <v>45781</v>
      </c>
      <c r="F593" t="s">
        <v>568</v>
      </c>
      <c r="G593">
        <v>751</v>
      </c>
      <c r="H593" t="s">
        <v>8</v>
      </c>
    </row>
    <row r="594" spans="1:8" x14ac:dyDescent="0.3">
      <c r="A594">
        <v>566</v>
      </c>
      <c r="B594" t="s">
        <v>2</v>
      </c>
      <c r="C594">
        <v>0</v>
      </c>
      <c r="D594">
        <v>382.77</v>
      </c>
      <c r="E594" s="8">
        <v>45768</v>
      </c>
      <c r="F594" s="8" t="s">
        <v>566</v>
      </c>
      <c r="G594">
        <v>325</v>
      </c>
      <c r="H594" t="s">
        <v>7</v>
      </c>
    </row>
    <row r="595" spans="1:8" x14ac:dyDescent="0.3">
      <c r="A595">
        <v>567</v>
      </c>
      <c r="B595" t="s">
        <v>2</v>
      </c>
      <c r="C595">
        <v>0</v>
      </c>
      <c r="D595">
        <v>511.12</v>
      </c>
      <c r="E595" s="8">
        <v>45794</v>
      </c>
      <c r="F595" t="s">
        <v>568</v>
      </c>
      <c r="G595">
        <v>686</v>
      </c>
      <c r="H595" t="s">
        <v>10</v>
      </c>
    </row>
    <row r="596" spans="1:8" x14ac:dyDescent="0.3">
      <c r="A596">
        <v>571</v>
      </c>
      <c r="B596" t="s">
        <v>3</v>
      </c>
      <c r="C596">
        <v>0</v>
      </c>
      <c r="D596">
        <v>859.38</v>
      </c>
      <c r="E596" s="8">
        <v>45800</v>
      </c>
      <c r="F596" t="s">
        <v>568</v>
      </c>
      <c r="G596">
        <v>191</v>
      </c>
      <c r="H596" t="s">
        <v>7</v>
      </c>
    </row>
    <row r="597" spans="1:8" x14ac:dyDescent="0.3">
      <c r="A597">
        <v>572</v>
      </c>
      <c r="B597" t="s">
        <v>3</v>
      </c>
      <c r="C597">
        <v>0</v>
      </c>
      <c r="D597">
        <v>709.31</v>
      </c>
      <c r="E597" s="8">
        <v>45769</v>
      </c>
      <c r="F597" s="8" t="s">
        <v>566</v>
      </c>
      <c r="G597">
        <v>506</v>
      </c>
      <c r="H597" t="s">
        <v>8</v>
      </c>
    </row>
    <row r="598" spans="1:8" x14ac:dyDescent="0.3">
      <c r="A598">
        <v>575</v>
      </c>
      <c r="B598" t="s">
        <v>3</v>
      </c>
      <c r="C598">
        <v>0</v>
      </c>
      <c r="D598">
        <v>400.38</v>
      </c>
      <c r="E598" s="8">
        <v>45774</v>
      </c>
      <c r="F598" s="8" t="s">
        <v>566</v>
      </c>
      <c r="G598">
        <v>5</v>
      </c>
      <c r="H598" t="s">
        <v>11</v>
      </c>
    </row>
    <row r="599" spans="1:8" x14ac:dyDescent="0.3">
      <c r="A599">
        <v>576</v>
      </c>
      <c r="B599" t="s">
        <v>2</v>
      </c>
      <c r="C599">
        <v>0</v>
      </c>
      <c r="D599">
        <v>537.95000000000005</v>
      </c>
      <c r="E599" s="8">
        <v>45821</v>
      </c>
      <c r="F599" s="8" t="s">
        <v>567</v>
      </c>
      <c r="G599">
        <v>20</v>
      </c>
      <c r="H599" t="s">
        <v>8</v>
      </c>
    </row>
    <row r="600" spans="1:8" x14ac:dyDescent="0.3">
      <c r="A600">
        <v>577</v>
      </c>
      <c r="B600" t="s">
        <v>2</v>
      </c>
      <c r="C600">
        <v>0</v>
      </c>
      <c r="D600">
        <v>161.54</v>
      </c>
      <c r="E600" s="8">
        <v>45804</v>
      </c>
      <c r="F600" t="s">
        <v>568</v>
      </c>
      <c r="G600">
        <v>958</v>
      </c>
      <c r="H600" t="s">
        <v>7</v>
      </c>
    </row>
    <row r="601" spans="1:8" x14ac:dyDescent="0.3">
      <c r="A601">
        <v>578</v>
      </c>
      <c r="B601" t="s">
        <v>3</v>
      </c>
      <c r="C601">
        <v>0</v>
      </c>
      <c r="D601">
        <v>357.46</v>
      </c>
      <c r="E601" s="8">
        <v>45772</v>
      </c>
      <c r="F601" s="8" t="s">
        <v>566</v>
      </c>
      <c r="G601">
        <v>849</v>
      </c>
      <c r="H601" t="s">
        <v>9</v>
      </c>
    </row>
    <row r="602" spans="1:8" x14ac:dyDescent="0.3">
      <c r="A602">
        <v>580</v>
      </c>
      <c r="B602" t="s">
        <v>3</v>
      </c>
      <c r="C602">
        <v>0</v>
      </c>
      <c r="D602">
        <v>422.78</v>
      </c>
      <c r="E602" s="8">
        <v>45808</v>
      </c>
      <c r="F602" t="s">
        <v>568</v>
      </c>
      <c r="G602">
        <v>833</v>
      </c>
      <c r="H602" t="s">
        <v>12</v>
      </c>
    </row>
    <row r="603" spans="1:8" x14ac:dyDescent="0.3">
      <c r="A603">
        <v>581</v>
      </c>
      <c r="B603" t="s">
        <v>2</v>
      </c>
      <c r="C603">
        <v>0</v>
      </c>
      <c r="D603">
        <v>516.66</v>
      </c>
      <c r="E603" s="8">
        <v>45808</v>
      </c>
      <c r="F603" t="s">
        <v>568</v>
      </c>
      <c r="G603">
        <v>125</v>
      </c>
      <c r="H603" t="s">
        <v>7</v>
      </c>
    </row>
    <row r="604" spans="1:8" x14ac:dyDescent="0.3">
      <c r="A604">
        <v>582</v>
      </c>
      <c r="B604" t="s">
        <v>2</v>
      </c>
      <c r="C604">
        <v>0</v>
      </c>
      <c r="D604">
        <v>308.11</v>
      </c>
      <c r="E604" s="8">
        <v>45812</v>
      </c>
      <c r="F604" s="8" t="s">
        <v>567</v>
      </c>
      <c r="G604">
        <v>357</v>
      </c>
      <c r="H604" t="s">
        <v>9</v>
      </c>
    </row>
    <row r="605" spans="1:8" x14ac:dyDescent="0.3">
      <c r="A605">
        <v>588</v>
      </c>
      <c r="B605" t="s">
        <v>3</v>
      </c>
      <c r="C605">
        <v>1</v>
      </c>
      <c r="D605">
        <v>178.9</v>
      </c>
      <c r="E605" s="8">
        <v>45791</v>
      </c>
      <c r="F605" t="s">
        <v>568</v>
      </c>
      <c r="G605">
        <v>898</v>
      </c>
      <c r="H605" t="s">
        <v>9</v>
      </c>
    </row>
    <row r="606" spans="1:8" x14ac:dyDescent="0.3">
      <c r="A606">
        <v>589</v>
      </c>
      <c r="B606" t="s">
        <v>3</v>
      </c>
      <c r="C606">
        <v>0</v>
      </c>
      <c r="D606">
        <v>372.08</v>
      </c>
      <c r="E606" s="8">
        <v>45825</v>
      </c>
      <c r="F606" s="8" t="s">
        <v>567</v>
      </c>
      <c r="G606">
        <v>160</v>
      </c>
      <c r="H606" t="s">
        <v>7</v>
      </c>
    </row>
    <row r="607" spans="1:8" x14ac:dyDescent="0.3">
      <c r="A607">
        <v>59</v>
      </c>
      <c r="B607" t="s">
        <v>2</v>
      </c>
      <c r="C607">
        <v>0</v>
      </c>
      <c r="D607">
        <v>435.92</v>
      </c>
      <c r="E607" s="8">
        <v>45791</v>
      </c>
      <c r="F607" t="s">
        <v>568</v>
      </c>
      <c r="G607">
        <v>787</v>
      </c>
      <c r="H607" t="s">
        <v>9</v>
      </c>
    </row>
    <row r="608" spans="1:8" x14ac:dyDescent="0.3">
      <c r="A608">
        <v>590</v>
      </c>
      <c r="B608" t="s">
        <v>2</v>
      </c>
      <c r="C608">
        <v>0</v>
      </c>
      <c r="D608">
        <v>324.12</v>
      </c>
      <c r="E608" s="8">
        <v>45760</v>
      </c>
      <c r="F608" s="8" t="s">
        <v>566</v>
      </c>
      <c r="G608">
        <v>512</v>
      </c>
      <c r="H608" t="s">
        <v>7</v>
      </c>
    </row>
    <row r="609" spans="1:8" x14ac:dyDescent="0.3">
      <c r="A609">
        <v>591</v>
      </c>
      <c r="B609" t="s">
        <v>2</v>
      </c>
      <c r="C609">
        <v>0</v>
      </c>
      <c r="D609">
        <v>616.58000000000004</v>
      </c>
      <c r="E609" s="8">
        <v>45800</v>
      </c>
      <c r="F609" t="s">
        <v>568</v>
      </c>
      <c r="G609">
        <v>525</v>
      </c>
      <c r="H609" t="s">
        <v>9</v>
      </c>
    </row>
    <row r="610" spans="1:8" x14ac:dyDescent="0.3">
      <c r="A610">
        <v>592</v>
      </c>
      <c r="B610" t="s">
        <v>2</v>
      </c>
      <c r="C610">
        <v>0</v>
      </c>
      <c r="D610">
        <v>134.93</v>
      </c>
      <c r="E610" s="8">
        <v>45794</v>
      </c>
      <c r="F610" t="s">
        <v>568</v>
      </c>
      <c r="G610">
        <v>906</v>
      </c>
      <c r="H610" t="s">
        <v>10</v>
      </c>
    </row>
    <row r="611" spans="1:8" x14ac:dyDescent="0.3">
      <c r="A611">
        <v>593</v>
      </c>
      <c r="B611" t="s">
        <v>3</v>
      </c>
      <c r="C611">
        <v>0</v>
      </c>
      <c r="D611">
        <v>303.48</v>
      </c>
      <c r="E611" s="8">
        <v>45824</v>
      </c>
      <c r="F611" s="8" t="s">
        <v>567</v>
      </c>
      <c r="G611">
        <v>758</v>
      </c>
      <c r="H611" t="s">
        <v>12</v>
      </c>
    </row>
    <row r="612" spans="1:8" x14ac:dyDescent="0.3">
      <c r="A612">
        <v>594</v>
      </c>
      <c r="B612" t="s">
        <v>3</v>
      </c>
      <c r="C612">
        <v>0</v>
      </c>
      <c r="D612">
        <v>493.31</v>
      </c>
      <c r="E612" s="8">
        <v>45807</v>
      </c>
      <c r="F612" t="s">
        <v>568</v>
      </c>
      <c r="G612">
        <v>69</v>
      </c>
      <c r="H612" t="s">
        <v>7</v>
      </c>
    </row>
    <row r="613" spans="1:8" x14ac:dyDescent="0.3">
      <c r="A613">
        <v>597</v>
      </c>
      <c r="B613" t="s">
        <v>3</v>
      </c>
      <c r="C613">
        <v>0</v>
      </c>
      <c r="D613">
        <v>760.4</v>
      </c>
      <c r="E613" s="8">
        <v>45765</v>
      </c>
      <c r="F613" s="8" t="s">
        <v>566</v>
      </c>
      <c r="G613">
        <v>132</v>
      </c>
      <c r="H613" t="s">
        <v>8</v>
      </c>
    </row>
    <row r="614" spans="1:8" x14ac:dyDescent="0.3">
      <c r="A614">
        <v>6</v>
      </c>
      <c r="B614" t="s">
        <v>2</v>
      </c>
      <c r="C614">
        <v>0</v>
      </c>
      <c r="D614">
        <v>416.43</v>
      </c>
      <c r="E614" s="8">
        <v>45822</v>
      </c>
      <c r="F614" s="8" t="s">
        <v>567</v>
      </c>
      <c r="G614">
        <v>659</v>
      </c>
      <c r="H614" t="s">
        <v>12</v>
      </c>
    </row>
    <row r="615" spans="1:8" x14ac:dyDescent="0.3">
      <c r="A615">
        <v>601</v>
      </c>
      <c r="B615" t="s">
        <v>2</v>
      </c>
      <c r="C615">
        <v>0</v>
      </c>
      <c r="D615">
        <v>542.91999999999996</v>
      </c>
      <c r="E615" s="8">
        <v>45808</v>
      </c>
      <c r="F615" t="s">
        <v>568</v>
      </c>
      <c r="G615">
        <v>387</v>
      </c>
      <c r="H615" t="s">
        <v>8</v>
      </c>
    </row>
    <row r="616" spans="1:8" x14ac:dyDescent="0.3">
      <c r="A616">
        <v>602</v>
      </c>
      <c r="B616" t="s">
        <v>2</v>
      </c>
      <c r="C616">
        <v>0</v>
      </c>
      <c r="D616">
        <v>447.92</v>
      </c>
      <c r="E616" s="8">
        <v>45775</v>
      </c>
      <c r="F616" s="8" t="s">
        <v>566</v>
      </c>
      <c r="G616">
        <v>284</v>
      </c>
      <c r="H616" t="s">
        <v>9</v>
      </c>
    </row>
    <row r="617" spans="1:8" x14ac:dyDescent="0.3">
      <c r="A617">
        <v>603</v>
      </c>
      <c r="B617" t="s">
        <v>3</v>
      </c>
      <c r="C617">
        <v>0</v>
      </c>
      <c r="D617">
        <v>367.01</v>
      </c>
      <c r="E617" s="8">
        <v>45808</v>
      </c>
      <c r="F617" t="s">
        <v>568</v>
      </c>
      <c r="G617">
        <v>182</v>
      </c>
      <c r="H617" t="s">
        <v>8</v>
      </c>
    </row>
    <row r="618" spans="1:8" x14ac:dyDescent="0.3">
      <c r="A618">
        <v>604</v>
      </c>
      <c r="B618" t="s">
        <v>2</v>
      </c>
      <c r="C618">
        <v>0</v>
      </c>
      <c r="D618">
        <v>499.56</v>
      </c>
      <c r="E618" s="8">
        <v>45803</v>
      </c>
      <c r="F618" t="s">
        <v>568</v>
      </c>
      <c r="G618">
        <v>338</v>
      </c>
      <c r="H618" t="s">
        <v>11</v>
      </c>
    </row>
    <row r="619" spans="1:8" x14ac:dyDescent="0.3">
      <c r="A619">
        <v>605</v>
      </c>
      <c r="B619" t="s">
        <v>3</v>
      </c>
      <c r="C619">
        <v>0</v>
      </c>
      <c r="D619">
        <v>411.94</v>
      </c>
      <c r="E619" s="8">
        <v>45812</v>
      </c>
      <c r="F619" s="8" t="s">
        <v>567</v>
      </c>
      <c r="G619">
        <v>118</v>
      </c>
      <c r="H619" t="s">
        <v>9</v>
      </c>
    </row>
    <row r="620" spans="1:8" x14ac:dyDescent="0.3">
      <c r="A620">
        <v>607</v>
      </c>
      <c r="B620" t="s">
        <v>3</v>
      </c>
      <c r="C620">
        <v>0</v>
      </c>
      <c r="D620">
        <v>395.28</v>
      </c>
      <c r="E620" s="8">
        <v>45777</v>
      </c>
      <c r="F620" s="8" t="s">
        <v>566</v>
      </c>
      <c r="G620">
        <v>785</v>
      </c>
      <c r="H620" t="s">
        <v>8</v>
      </c>
    </row>
    <row r="621" spans="1:8" x14ac:dyDescent="0.3">
      <c r="A621">
        <v>609</v>
      </c>
      <c r="B621" t="s">
        <v>3</v>
      </c>
      <c r="C621">
        <v>0</v>
      </c>
      <c r="D621">
        <v>340.38</v>
      </c>
      <c r="E621" s="8">
        <v>45799</v>
      </c>
      <c r="F621" t="s">
        <v>568</v>
      </c>
      <c r="G621">
        <v>946</v>
      </c>
      <c r="H621" t="s">
        <v>8</v>
      </c>
    </row>
    <row r="622" spans="1:8" x14ac:dyDescent="0.3">
      <c r="A622">
        <v>61</v>
      </c>
      <c r="B622" t="s">
        <v>3</v>
      </c>
      <c r="C622">
        <v>0</v>
      </c>
      <c r="D622">
        <v>370.24</v>
      </c>
      <c r="E622" s="8">
        <v>45803</v>
      </c>
      <c r="F622" t="s">
        <v>568</v>
      </c>
      <c r="G622">
        <v>444</v>
      </c>
      <c r="H622" t="s">
        <v>7</v>
      </c>
    </row>
    <row r="623" spans="1:8" x14ac:dyDescent="0.3">
      <c r="A623">
        <v>610</v>
      </c>
      <c r="B623" t="s">
        <v>2</v>
      </c>
      <c r="C623">
        <v>0</v>
      </c>
      <c r="D623">
        <v>435.62</v>
      </c>
      <c r="E623" s="8">
        <v>45807</v>
      </c>
      <c r="F623" t="s">
        <v>568</v>
      </c>
      <c r="G623">
        <v>504</v>
      </c>
      <c r="H623" t="s">
        <v>10</v>
      </c>
    </row>
    <row r="624" spans="1:8" x14ac:dyDescent="0.3">
      <c r="A624">
        <v>612</v>
      </c>
      <c r="B624" t="s">
        <v>3</v>
      </c>
      <c r="C624">
        <v>0</v>
      </c>
      <c r="D624">
        <v>588.12</v>
      </c>
      <c r="E624" s="8">
        <v>45802</v>
      </c>
      <c r="F624" t="s">
        <v>568</v>
      </c>
      <c r="G624">
        <v>488</v>
      </c>
      <c r="H624" t="s">
        <v>7</v>
      </c>
    </row>
    <row r="625" spans="1:8" x14ac:dyDescent="0.3">
      <c r="A625">
        <v>613</v>
      </c>
      <c r="B625" t="s">
        <v>2</v>
      </c>
      <c r="C625">
        <v>0</v>
      </c>
      <c r="D625">
        <v>562.46</v>
      </c>
      <c r="E625" s="8">
        <v>45823</v>
      </c>
      <c r="F625" s="8" t="s">
        <v>567</v>
      </c>
      <c r="G625">
        <v>112</v>
      </c>
      <c r="H625" t="s">
        <v>8</v>
      </c>
    </row>
    <row r="626" spans="1:8" x14ac:dyDescent="0.3">
      <c r="A626">
        <v>614</v>
      </c>
      <c r="B626" t="s">
        <v>3</v>
      </c>
      <c r="C626">
        <v>0</v>
      </c>
      <c r="D626">
        <v>498.27</v>
      </c>
      <c r="E626" s="8">
        <v>45806</v>
      </c>
      <c r="F626" t="s">
        <v>568</v>
      </c>
      <c r="G626">
        <v>761</v>
      </c>
      <c r="H626" t="s">
        <v>10</v>
      </c>
    </row>
    <row r="627" spans="1:8" x14ac:dyDescent="0.3">
      <c r="A627">
        <v>615</v>
      </c>
      <c r="B627" t="s">
        <v>3</v>
      </c>
      <c r="C627">
        <v>1</v>
      </c>
      <c r="D627">
        <v>207.29</v>
      </c>
      <c r="E627" s="8">
        <v>45793</v>
      </c>
      <c r="F627" t="s">
        <v>568</v>
      </c>
      <c r="G627">
        <v>23</v>
      </c>
      <c r="H627" t="s">
        <v>8</v>
      </c>
    </row>
    <row r="628" spans="1:8" x14ac:dyDescent="0.3">
      <c r="A628">
        <v>616</v>
      </c>
      <c r="B628" t="s">
        <v>2</v>
      </c>
      <c r="C628">
        <v>0</v>
      </c>
      <c r="D628">
        <v>243.91</v>
      </c>
      <c r="E628" s="8">
        <v>45770</v>
      </c>
      <c r="F628" s="8" t="s">
        <v>566</v>
      </c>
      <c r="G628">
        <v>838</v>
      </c>
      <c r="H628" t="s">
        <v>11</v>
      </c>
    </row>
    <row r="629" spans="1:8" x14ac:dyDescent="0.3">
      <c r="A629">
        <v>617</v>
      </c>
      <c r="B629" t="s">
        <v>2</v>
      </c>
      <c r="C629">
        <v>0</v>
      </c>
      <c r="D629">
        <v>566.22</v>
      </c>
      <c r="E629" s="8">
        <v>45795</v>
      </c>
      <c r="F629" t="s">
        <v>568</v>
      </c>
      <c r="G629">
        <v>62</v>
      </c>
      <c r="H629" t="s">
        <v>11</v>
      </c>
    </row>
    <row r="630" spans="1:8" x14ac:dyDescent="0.3">
      <c r="A630">
        <v>618</v>
      </c>
      <c r="B630" t="s">
        <v>3</v>
      </c>
      <c r="C630">
        <v>0</v>
      </c>
      <c r="D630">
        <v>227.85</v>
      </c>
      <c r="E630" s="8">
        <v>45766</v>
      </c>
      <c r="F630" s="8" t="s">
        <v>566</v>
      </c>
      <c r="G630">
        <v>653</v>
      </c>
      <c r="H630" t="s">
        <v>12</v>
      </c>
    </row>
    <row r="631" spans="1:8" x14ac:dyDescent="0.3">
      <c r="A631">
        <v>619</v>
      </c>
      <c r="B631" t="s">
        <v>3</v>
      </c>
      <c r="C631">
        <v>1</v>
      </c>
      <c r="D631">
        <v>232.25</v>
      </c>
      <c r="E631" s="8">
        <v>45792</v>
      </c>
      <c r="F631" t="s">
        <v>568</v>
      </c>
      <c r="G631">
        <v>895</v>
      </c>
      <c r="H631" t="s">
        <v>8</v>
      </c>
    </row>
    <row r="632" spans="1:8" x14ac:dyDescent="0.3">
      <c r="A632">
        <v>620</v>
      </c>
      <c r="B632" t="s">
        <v>2</v>
      </c>
      <c r="C632">
        <v>0</v>
      </c>
      <c r="D632">
        <v>426.3</v>
      </c>
      <c r="E632" s="8">
        <v>45797</v>
      </c>
      <c r="F632" t="s">
        <v>568</v>
      </c>
      <c r="G632">
        <v>65</v>
      </c>
      <c r="H632" t="s">
        <v>11</v>
      </c>
    </row>
    <row r="633" spans="1:8" x14ac:dyDescent="0.3">
      <c r="A633">
        <v>621</v>
      </c>
      <c r="B633" t="s">
        <v>3</v>
      </c>
      <c r="C633">
        <v>1</v>
      </c>
      <c r="D633">
        <v>263.25</v>
      </c>
      <c r="E633" s="8">
        <v>45792</v>
      </c>
      <c r="F633" t="s">
        <v>568</v>
      </c>
      <c r="G633">
        <v>86</v>
      </c>
      <c r="H633" t="s">
        <v>10</v>
      </c>
    </row>
    <row r="634" spans="1:8" x14ac:dyDescent="0.3">
      <c r="A634">
        <v>622</v>
      </c>
      <c r="B634" t="s">
        <v>2</v>
      </c>
      <c r="C634">
        <v>0</v>
      </c>
      <c r="D634">
        <v>194.57</v>
      </c>
      <c r="E634" s="8">
        <v>45773</v>
      </c>
      <c r="F634" s="8" t="s">
        <v>566</v>
      </c>
      <c r="G634">
        <v>217</v>
      </c>
      <c r="H634" t="s">
        <v>9</v>
      </c>
    </row>
    <row r="635" spans="1:8" x14ac:dyDescent="0.3">
      <c r="A635">
        <v>623</v>
      </c>
      <c r="B635" t="s">
        <v>2</v>
      </c>
      <c r="C635">
        <v>0</v>
      </c>
      <c r="D635">
        <v>284.26</v>
      </c>
      <c r="E635" s="8">
        <v>45761</v>
      </c>
      <c r="F635" s="8" t="s">
        <v>566</v>
      </c>
      <c r="G635">
        <v>943</v>
      </c>
      <c r="H635" t="s">
        <v>9</v>
      </c>
    </row>
    <row r="636" spans="1:8" x14ac:dyDescent="0.3">
      <c r="A636">
        <v>624</v>
      </c>
      <c r="B636" t="s">
        <v>3</v>
      </c>
      <c r="C636">
        <v>1</v>
      </c>
      <c r="D636">
        <v>383.49</v>
      </c>
      <c r="E636" s="8">
        <v>45790</v>
      </c>
      <c r="F636" t="s">
        <v>568</v>
      </c>
      <c r="G636">
        <v>223</v>
      </c>
      <c r="H636" t="s">
        <v>7</v>
      </c>
    </row>
    <row r="637" spans="1:8" x14ac:dyDescent="0.3">
      <c r="A637">
        <v>626</v>
      </c>
      <c r="B637" t="s">
        <v>3</v>
      </c>
      <c r="C637">
        <v>0</v>
      </c>
      <c r="D637">
        <v>147.29</v>
      </c>
      <c r="E637" s="8">
        <v>45771</v>
      </c>
      <c r="F637" s="8" t="s">
        <v>566</v>
      </c>
      <c r="G637">
        <v>376</v>
      </c>
      <c r="H637" t="s">
        <v>7</v>
      </c>
    </row>
    <row r="638" spans="1:8" x14ac:dyDescent="0.3">
      <c r="A638">
        <v>627</v>
      </c>
      <c r="B638" t="s">
        <v>3</v>
      </c>
      <c r="C638">
        <v>0</v>
      </c>
      <c r="D638">
        <v>467.58</v>
      </c>
      <c r="E638" s="8">
        <v>45800</v>
      </c>
      <c r="F638" t="s">
        <v>568</v>
      </c>
      <c r="G638">
        <v>973</v>
      </c>
      <c r="H638" t="s">
        <v>9</v>
      </c>
    </row>
    <row r="639" spans="1:8" x14ac:dyDescent="0.3">
      <c r="A639">
        <v>629</v>
      </c>
      <c r="B639" t="s">
        <v>3</v>
      </c>
      <c r="C639">
        <v>0</v>
      </c>
      <c r="D639">
        <v>400.35</v>
      </c>
      <c r="E639" s="8">
        <v>45803</v>
      </c>
      <c r="F639" t="s">
        <v>568</v>
      </c>
      <c r="G639">
        <v>186</v>
      </c>
      <c r="H639" t="s">
        <v>10</v>
      </c>
    </row>
    <row r="640" spans="1:8" x14ac:dyDescent="0.3">
      <c r="A640">
        <v>63</v>
      </c>
      <c r="B640" t="s">
        <v>3</v>
      </c>
      <c r="C640">
        <v>0</v>
      </c>
      <c r="D640">
        <v>431.64</v>
      </c>
      <c r="E640" s="8">
        <v>45781</v>
      </c>
      <c r="F640" t="s">
        <v>568</v>
      </c>
      <c r="G640">
        <v>35</v>
      </c>
      <c r="H640" t="s">
        <v>8</v>
      </c>
    </row>
    <row r="641" spans="1:8" x14ac:dyDescent="0.3">
      <c r="A641">
        <v>630</v>
      </c>
      <c r="B641" t="s">
        <v>2</v>
      </c>
      <c r="C641">
        <v>0</v>
      </c>
      <c r="D641">
        <v>466.2</v>
      </c>
      <c r="E641" s="8">
        <v>45806</v>
      </c>
      <c r="F641" t="s">
        <v>568</v>
      </c>
      <c r="G641">
        <v>120</v>
      </c>
      <c r="H641" t="s">
        <v>7</v>
      </c>
    </row>
    <row r="642" spans="1:8" x14ac:dyDescent="0.3">
      <c r="A642">
        <v>632</v>
      </c>
      <c r="B642" t="s">
        <v>3</v>
      </c>
      <c r="C642">
        <v>1</v>
      </c>
      <c r="D642">
        <v>240.4</v>
      </c>
      <c r="E642" s="8">
        <v>45793</v>
      </c>
      <c r="F642" t="s">
        <v>568</v>
      </c>
      <c r="G642">
        <v>144</v>
      </c>
      <c r="H642" t="s">
        <v>7</v>
      </c>
    </row>
    <row r="643" spans="1:8" x14ac:dyDescent="0.3">
      <c r="A643">
        <v>635</v>
      </c>
      <c r="B643" t="s">
        <v>3</v>
      </c>
      <c r="C643">
        <v>0</v>
      </c>
      <c r="D643">
        <v>347.37</v>
      </c>
      <c r="E643" s="8">
        <v>45763</v>
      </c>
      <c r="F643" s="8" t="s">
        <v>566</v>
      </c>
      <c r="G643">
        <v>104</v>
      </c>
      <c r="H643" t="s">
        <v>10</v>
      </c>
    </row>
    <row r="644" spans="1:8" x14ac:dyDescent="0.3">
      <c r="A644">
        <v>637</v>
      </c>
      <c r="B644" t="s">
        <v>3</v>
      </c>
      <c r="C644">
        <v>0</v>
      </c>
      <c r="D644">
        <v>298.98</v>
      </c>
      <c r="E644" s="8">
        <v>45765</v>
      </c>
      <c r="F644" s="8" t="s">
        <v>566</v>
      </c>
      <c r="G644">
        <v>37</v>
      </c>
      <c r="H644" t="s">
        <v>10</v>
      </c>
    </row>
    <row r="645" spans="1:8" x14ac:dyDescent="0.3">
      <c r="A645">
        <v>639</v>
      </c>
      <c r="B645" t="s">
        <v>2</v>
      </c>
      <c r="C645">
        <v>0</v>
      </c>
      <c r="D645">
        <v>499.62</v>
      </c>
      <c r="E645" s="8">
        <v>45769</v>
      </c>
      <c r="F645" s="8" t="s">
        <v>566</v>
      </c>
      <c r="G645">
        <v>346</v>
      </c>
      <c r="H645" t="s">
        <v>9</v>
      </c>
    </row>
    <row r="646" spans="1:8" x14ac:dyDescent="0.3">
      <c r="A646">
        <v>64</v>
      </c>
      <c r="B646" t="s">
        <v>3</v>
      </c>
      <c r="C646">
        <v>0</v>
      </c>
      <c r="D646">
        <v>426.45</v>
      </c>
      <c r="E646" s="8">
        <v>45798</v>
      </c>
      <c r="F646" t="s">
        <v>568</v>
      </c>
      <c r="G646">
        <v>795</v>
      </c>
      <c r="H646" t="s">
        <v>7</v>
      </c>
    </row>
    <row r="647" spans="1:8" x14ac:dyDescent="0.3">
      <c r="A647">
        <v>640</v>
      </c>
      <c r="B647" t="s">
        <v>3</v>
      </c>
      <c r="C647">
        <v>0</v>
      </c>
      <c r="D647">
        <v>521.41</v>
      </c>
      <c r="E647" s="8">
        <v>45765</v>
      </c>
      <c r="F647" s="8" t="s">
        <v>566</v>
      </c>
      <c r="G647">
        <v>196</v>
      </c>
      <c r="H647" t="s">
        <v>9</v>
      </c>
    </row>
    <row r="648" spans="1:8" x14ac:dyDescent="0.3">
      <c r="A648">
        <v>642</v>
      </c>
      <c r="B648" t="s">
        <v>2</v>
      </c>
      <c r="C648">
        <v>0</v>
      </c>
      <c r="D648">
        <v>504.5</v>
      </c>
      <c r="E648" s="8">
        <v>45796</v>
      </c>
      <c r="F648" t="s">
        <v>568</v>
      </c>
      <c r="G648">
        <v>796</v>
      </c>
      <c r="H648" t="s">
        <v>10</v>
      </c>
    </row>
    <row r="649" spans="1:8" x14ac:dyDescent="0.3">
      <c r="A649">
        <v>643</v>
      </c>
      <c r="B649" t="s">
        <v>2</v>
      </c>
      <c r="C649">
        <v>0</v>
      </c>
      <c r="D649">
        <v>506.83</v>
      </c>
      <c r="E649" s="8">
        <v>45771</v>
      </c>
      <c r="F649" s="8" t="s">
        <v>566</v>
      </c>
      <c r="G649">
        <v>259</v>
      </c>
      <c r="H649" t="s">
        <v>7</v>
      </c>
    </row>
    <row r="650" spans="1:8" x14ac:dyDescent="0.3">
      <c r="A650">
        <v>644</v>
      </c>
      <c r="B650" t="s">
        <v>2</v>
      </c>
      <c r="C650">
        <v>0</v>
      </c>
      <c r="D650">
        <v>231.66</v>
      </c>
      <c r="E650" s="8">
        <v>45751</v>
      </c>
      <c r="F650" s="8" t="s">
        <v>566</v>
      </c>
      <c r="G650">
        <v>374</v>
      </c>
      <c r="H650" t="s">
        <v>9</v>
      </c>
    </row>
    <row r="651" spans="1:8" x14ac:dyDescent="0.3">
      <c r="A651">
        <v>645</v>
      </c>
      <c r="B651" t="s">
        <v>2</v>
      </c>
      <c r="C651">
        <v>0</v>
      </c>
      <c r="D651">
        <v>640.26</v>
      </c>
      <c r="E651" s="8">
        <v>45761</v>
      </c>
      <c r="F651" s="8" t="s">
        <v>566</v>
      </c>
      <c r="G651">
        <v>776</v>
      </c>
      <c r="H651" t="s">
        <v>12</v>
      </c>
    </row>
    <row r="652" spans="1:8" x14ac:dyDescent="0.3">
      <c r="A652">
        <v>646</v>
      </c>
      <c r="B652" t="s">
        <v>2</v>
      </c>
      <c r="C652">
        <v>0</v>
      </c>
      <c r="D652">
        <v>151.74</v>
      </c>
      <c r="E652" s="8">
        <v>45791</v>
      </c>
      <c r="F652" t="s">
        <v>568</v>
      </c>
      <c r="G652">
        <v>396</v>
      </c>
      <c r="H652" t="s">
        <v>10</v>
      </c>
    </row>
    <row r="653" spans="1:8" x14ac:dyDescent="0.3">
      <c r="A653">
        <v>647</v>
      </c>
      <c r="B653" t="s">
        <v>2</v>
      </c>
      <c r="C653">
        <v>0</v>
      </c>
      <c r="D653">
        <v>379.16</v>
      </c>
      <c r="E653" s="8">
        <v>45777</v>
      </c>
      <c r="F653" s="8" t="s">
        <v>566</v>
      </c>
      <c r="G653">
        <v>688</v>
      </c>
      <c r="H653" t="s">
        <v>9</v>
      </c>
    </row>
    <row r="654" spans="1:8" x14ac:dyDescent="0.3">
      <c r="A654">
        <v>65</v>
      </c>
      <c r="B654" t="s">
        <v>2</v>
      </c>
      <c r="C654">
        <v>0</v>
      </c>
      <c r="D654">
        <v>326.98</v>
      </c>
      <c r="E654" s="8">
        <v>45813</v>
      </c>
      <c r="F654" s="8" t="s">
        <v>567</v>
      </c>
      <c r="G654">
        <v>168</v>
      </c>
      <c r="H654" t="s">
        <v>8</v>
      </c>
    </row>
    <row r="655" spans="1:8" x14ac:dyDescent="0.3">
      <c r="A655">
        <v>651</v>
      </c>
      <c r="B655" t="s">
        <v>2</v>
      </c>
      <c r="C655">
        <v>0</v>
      </c>
      <c r="D655">
        <v>501.78</v>
      </c>
      <c r="E655" s="8">
        <v>45763</v>
      </c>
      <c r="F655" s="8" t="s">
        <v>566</v>
      </c>
      <c r="G655">
        <v>225</v>
      </c>
      <c r="H655" t="s">
        <v>8</v>
      </c>
    </row>
    <row r="656" spans="1:8" x14ac:dyDescent="0.3">
      <c r="A656">
        <v>653</v>
      </c>
      <c r="B656" t="s">
        <v>2</v>
      </c>
      <c r="C656">
        <v>0</v>
      </c>
      <c r="D656">
        <v>644.05999999999995</v>
      </c>
      <c r="E656" s="8">
        <v>45798</v>
      </c>
      <c r="F656" t="s">
        <v>568</v>
      </c>
      <c r="G656">
        <v>168</v>
      </c>
      <c r="H656" t="s">
        <v>8</v>
      </c>
    </row>
    <row r="657" spans="1:8" x14ac:dyDescent="0.3">
      <c r="A657">
        <v>654</v>
      </c>
      <c r="B657" t="s">
        <v>3</v>
      </c>
      <c r="C657">
        <v>0</v>
      </c>
      <c r="D657">
        <v>328.98</v>
      </c>
      <c r="E657" s="8">
        <v>45752</v>
      </c>
      <c r="F657" s="8" t="s">
        <v>566</v>
      </c>
      <c r="G657">
        <v>881</v>
      </c>
      <c r="H657" t="s">
        <v>12</v>
      </c>
    </row>
    <row r="658" spans="1:8" x14ac:dyDescent="0.3">
      <c r="A658">
        <v>655</v>
      </c>
      <c r="B658" t="s">
        <v>2</v>
      </c>
      <c r="C658">
        <v>0</v>
      </c>
      <c r="D658">
        <v>511.39</v>
      </c>
      <c r="E658" s="8">
        <v>45771</v>
      </c>
      <c r="F658" s="8" t="s">
        <v>566</v>
      </c>
      <c r="G658">
        <v>16</v>
      </c>
      <c r="H658" t="s">
        <v>7</v>
      </c>
    </row>
    <row r="659" spans="1:8" x14ac:dyDescent="0.3">
      <c r="A659">
        <v>658</v>
      </c>
      <c r="B659" t="s">
        <v>3</v>
      </c>
      <c r="C659">
        <v>0</v>
      </c>
      <c r="D659">
        <v>374.25</v>
      </c>
      <c r="E659" s="8">
        <v>45824</v>
      </c>
      <c r="F659" s="8" t="s">
        <v>567</v>
      </c>
      <c r="G659">
        <v>835</v>
      </c>
      <c r="H659" t="s">
        <v>12</v>
      </c>
    </row>
    <row r="660" spans="1:8" x14ac:dyDescent="0.3">
      <c r="A660">
        <v>659</v>
      </c>
      <c r="B660" t="s">
        <v>3</v>
      </c>
      <c r="C660">
        <v>0</v>
      </c>
      <c r="D660">
        <v>610.09</v>
      </c>
      <c r="E660" s="8">
        <v>45764</v>
      </c>
      <c r="F660" s="8" t="s">
        <v>566</v>
      </c>
      <c r="G660">
        <v>656</v>
      </c>
      <c r="H660" t="s">
        <v>7</v>
      </c>
    </row>
    <row r="661" spans="1:8" x14ac:dyDescent="0.3">
      <c r="A661">
        <v>660</v>
      </c>
      <c r="B661" t="s">
        <v>3</v>
      </c>
      <c r="C661">
        <v>0</v>
      </c>
      <c r="D661">
        <v>368.79</v>
      </c>
      <c r="E661" s="8">
        <v>45822</v>
      </c>
      <c r="F661" s="8" t="s">
        <v>567</v>
      </c>
      <c r="G661">
        <v>86</v>
      </c>
      <c r="H661" t="s">
        <v>10</v>
      </c>
    </row>
    <row r="662" spans="1:8" x14ac:dyDescent="0.3">
      <c r="A662">
        <v>663</v>
      </c>
      <c r="B662" t="s">
        <v>2</v>
      </c>
      <c r="C662">
        <v>0</v>
      </c>
      <c r="D662">
        <v>440.02</v>
      </c>
      <c r="E662" s="8">
        <v>45812</v>
      </c>
      <c r="F662" s="8" t="s">
        <v>567</v>
      </c>
      <c r="G662">
        <v>780</v>
      </c>
      <c r="H662" t="s">
        <v>12</v>
      </c>
    </row>
    <row r="663" spans="1:8" x14ac:dyDescent="0.3">
      <c r="A663">
        <v>664</v>
      </c>
      <c r="B663" t="s">
        <v>3</v>
      </c>
      <c r="C663">
        <v>0</v>
      </c>
      <c r="D663">
        <v>353.01</v>
      </c>
      <c r="E663" s="8">
        <v>45822</v>
      </c>
      <c r="F663" s="8" t="s">
        <v>567</v>
      </c>
      <c r="G663">
        <v>493</v>
      </c>
      <c r="H663" t="s">
        <v>7</v>
      </c>
    </row>
    <row r="664" spans="1:8" x14ac:dyDescent="0.3">
      <c r="A664">
        <v>665</v>
      </c>
      <c r="B664" t="s">
        <v>2</v>
      </c>
      <c r="C664">
        <v>0</v>
      </c>
      <c r="D664">
        <v>440.01</v>
      </c>
      <c r="E664" s="8">
        <v>45760</v>
      </c>
      <c r="F664" s="8" t="s">
        <v>566</v>
      </c>
      <c r="G664">
        <v>477</v>
      </c>
      <c r="H664" t="s">
        <v>11</v>
      </c>
    </row>
    <row r="665" spans="1:8" x14ac:dyDescent="0.3">
      <c r="A665">
        <v>666</v>
      </c>
      <c r="B665" t="s">
        <v>2</v>
      </c>
      <c r="C665">
        <v>0</v>
      </c>
      <c r="D665">
        <v>236.19</v>
      </c>
      <c r="E665" s="8">
        <v>45801</v>
      </c>
      <c r="F665" t="s">
        <v>568</v>
      </c>
      <c r="G665">
        <v>743</v>
      </c>
      <c r="H665" t="s">
        <v>10</v>
      </c>
    </row>
    <row r="666" spans="1:8" x14ac:dyDescent="0.3">
      <c r="A666">
        <v>667</v>
      </c>
      <c r="B666" t="s">
        <v>3</v>
      </c>
      <c r="C666">
        <v>0</v>
      </c>
      <c r="D666">
        <v>288.19</v>
      </c>
      <c r="E666" s="8">
        <v>45762</v>
      </c>
      <c r="F666" s="8" t="s">
        <v>566</v>
      </c>
      <c r="G666">
        <v>218</v>
      </c>
      <c r="H666" t="s">
        <v>7</v>
      </c>
    </row>
    <row r="667" spans="1:8" x14ac:dyDescent="0.3">
      <c r="A667">
        <v>668</v>
      </c>
      <c r="B667" t="s">
        <v>2</v>
      </c>
      <c r="C667">
        <v>0</v>
      </c>
      <c r="D667">
        <v>321.60000000000002</v>
      </c>
      <c r="E667" s="8">
        <v>45767</v>
      </c>
      <c r="F667" s="8" t="s">
        <v>566</v>
      </c>
      <c r="G667">
        <v>167</v>
      </c>
      <c r="H667" t="s">
        <v>8</v>
      </c>
    </row>
    <row r="668" spans="1:8" x14ac:dyDescent="0.3">
      <c r="A668">
        <v>67</v>
      </c>
      <c r="B668" t="s">
        <v>3</v>
      </c>
      <c r="C668">
        <v>0</v>
      </c>
      <c r="D668">
        <v>414.7</v>
      </c>
      <c r="E668" s="8">
        <v>45751</v>
      </c>
      <c r="F668" s="8" t="s">
        <v>566</v>
      </c>
      <c r="G668">
        <v>128</v>
      </c>
      <c r="H668" t="s">
        <v>10</v>
      </c>
    </row>
    <row r="669" spans="1:8" x14ac:dyDescent="0.3">
      <c r="A669">
        <v>670</v>
      </c>
      <c r="B669" t="s">
        <v>3</v>
      </c>
      <c r="C669">
        <v>0</v>
      </c>
      <c r="D669">
        <v>173.7</v>
      </c>
      <c r="E669" s="8">
        <v>45804</v>
      </c>
      <c r="F669" t="s">
        <v>568</v>
      </c>
      <c r="G669">
        <v>820</v>
      </c>
      <c r="H669" t="s">
        <v>11</v>
      </c>
    </row>
    <row r="670" spans="1:8" x14ac:dyDescent="0.3">
      <c r="A670">
        <v>672</v>
      </c>
      <c r="B670" t="s">
        <v>3</v>
      </c>
      <c r="C670">
        <v>0</v>
      </c>
      <c r="D670">
        <v>337.28</v>
      </c>
      <c r="E670" s="8">
        <v>45772</v>
      </c>
      <c r="F670" s="8" t="s">
        <v>566</v>
      </c>
      <c r="G670">
        <v>807</v>
      </c>
      <c r="H670" t="s">
        <v>7</v>
      </c>
    </row>
    <row r="671" spans="1:8" x14ac:dyDescent="0.3">
      <c r="A671">
        <v>675</v>
      </c>
      <c r="B671" t="s">
        <v>2</v>
      </c>
      <c r="C671">
        <v>0</v>
      </c>
      <c r="D671">
        <v>102.61</v>
      </c>
      <c r="E671" s="8">
        <v>45800</v>
      </c>
      <c r="F671" t="s">
        <v>568</v>
      </c>
      <c r="G671">
        <v>126</v>
      </c>
      <c r="H671" t="s">
        <v>10</v>
      </c>
    </row>
    <row r="672" spans="1:8" x14ac:dyDescent="0.3">
      <c r="A672">
        <v>676</v>
      </c>
      <c r="B672" t="s">
        <v>3</v>
      </c>
      <c r="C672">
        <v>0</v>
      </c>
      <c r="D672">
        <v>583.9</v>
      </c>
      <c r="E672" s="8">
        <v>45797</v>
      </c>
      <c r="F672" t="s">
        <v>568</v>
      </c>
      <c r="G672">
        <v>254</v>
      </c>
      <c r="H672" t="s">
        <v>9</v>
      </c>
    </row>
    <row r="673" spans="1:8" x14ac:dyDescent="0.3">
      <c r="A673">
        <v>677</v>
      </c>
      <c r="B673" t="s">
        <v>2</v>
      </c>
      <c r="C673">
        <v>0</v>
      </c>
      <c r="D673">
        <v>112.89</v>
      </c>
      <c r="E673" s="8">
        <v>45822</v>
      </c>
      <c r="F673" s="8" t="s">
        <v>567</v>
      </c>
      <c r="G673">
        <v>827</v>
      </c>
      <c r="H673" t="s">
        <v>8</v>
      </c>
    </row>
    <row r="674" spans="1:8" x14ac:dyDescent="0.3">
      <c r="A674">
        <v>678</v>
      </c>
      <c r="B674" t="s">
        <v>2</v>
      </c>
      <c r="C674">
        <v>0</v>
      </c>
      <c r="D674">
        <v>562.41999999999996</v>
      </c>
      <c r="E674" s="8">
        <v>45781</v>
      </c>
      <c r="F674" t="s">
        <v>568</v>
      </c>
      <c r="G674">
        <v>37</v>
      </c>
      <c r="H674" t="s">
        <v>10</v>
      </c>
    </row>
    <row r="675" spans="1:8" x14ac:dyDescent="0.3">
      <c r="A675">
        <v>68</v>
      </c>
      <c r="B675" t="s">
        <v>2</v>
      </c>
      <c r="C675">
        <v>0</v>
      </c>
      <c r="D675">
        <v>740.54</v>
      </c>
      <c r="E675" s="8">
        <v>45800</v>
      </c>
      <c r="F675" t="s">
        <v>568</v>
      </c>
      <c r="G675">
        <v>413</v>
      </c>
      <c r="H675" t="s">
        <v>8</v>
      </c>
    </row>
    <row r="676" spans="1:8" x14ac:dyDescent="0.3">
      <c r="A676">
        <v>686</v>
      </c>
      <c r="B676" t="s">
        <v>2</v>
      </c>
      <c r="C676">
        <v>0</v>
      </c>
      <c r="D676">
        <v>207.3</v>
      </c>
      <c r="E676" s="8">
        <v>45807</v>
      </c>
      <c r="F676" t="s">
        <v>568</v>
      </c>
      <c r="G676">
        <v>25</v>
      </c>
      <c r="H676" t="s">
        <v>9</v>
      </c>
    </row>
    <row r="677" spans="1:8" x14ac:dyDescent="0.3">
      <c r="A677">
        <v>689</v>
      </c>
      <c r="B677" t="s">
        <v>3</v>
      </c>
      <c r="C677">
        <v>0</v>
      </c>
      <c r="D677">
        <v>405.34</v>
      </c>
      <c r="E677" s="8">
        <v>45762</v>
      </c>
      <c r="F677" s="8" t="s">
        <v>566</v>
      </c>
      <c r="G677">
        <v>891</v>
      </c>
      <c r="H677" t="s">
        <v>12</v>
      </c>
    </row>
    <row r="678" spans="1:8" x14ac:dyDescent="0.3">
      <c r="A678">
        <v>691</v>
      </c>
      <c r="B678" t="s">
        <v>3</v>
      </c>
      <c r="C678">
        <v>0</v>
      </c>
      <c r="D678">
        <v>475.07</v>
      </c>
      <c r="E678" s="8">
        <v>45825</v>
      </c>
      <c r="F678" s="8" t="s">
        <v>567</v>
      </c>
      <c r="G678">
        <v>33</v>
      </c>
      <c r="H678" t="s">
        <v>9</v>
      </c>
    </row>
    <row r="679" spans="1:8" x14ac:dyDescent="0.3">
      <c r="A679">
        <v>694</v>
      </c>
      <c r="B679" t="s">
        <v>3</v>
      </c>
      <c r="C679">
        <v>0</v>
      </c>
      <c r="D679">
        <v>183.33</v>
      </c>
      <c r="E679" s="8">
        <v>45813</v>
      </c>
      <c r="F679" s="8" t="s">
        <v>567</v>
      </c>
      <c r="G679">
        <v>884</v>
      </c>
      <c r="H679" t="s">
        <v>11</v>
      </c>
    </row>
    <row r="680" spans="1:8" x14ac:dyDescent="0.3">
      <c r="A680">
        <v>695</v>
      </c>
      <c r="B680" t="s">
        <v>3</v>
      </c>
      <c r="C680">
        <v>0</v>
      </c>
      <c r="D680">
        <v>437.62</v>
      </c>
      <c r="E680" s="8">
        <v>45771</v>
      </c>
      <c r="F680" s="8" t="s">
        <v>566</v>
      </c>
      <c r="G680">
        <v>634</v>
      </c>
      <c r="H680" t="s">
        <v>12</v>
      </c>
    </row>
    <row r="681" spans="1:8" x14ac:dyDescent="0.3">
      <c r="A681">
        <v>698</v>
      </c>
      <c r="B681" t="s">
        <v>2</v>
      </c>
      <c r="C681">
        <v>0</v>
      </c>
      <c r="D681">
        <v>260.26</v>
      </c>
      <c r="E681" s="8">
        <v>45793</v>
      </c>
      <c r="F681" t="s">
        <v>568</v>
      </c>
      <c r="G681">
        <v>96</v>
      </c>
      <c r="H681" t="s">
        <v>9</v>
      </c>
    </row>
    <row r="682" spans="1:8" x14ac:dyDescent="0.3">
      <c r="A682">
        <v>700</v>
      </c>
      <c r="B682" t="s">
        <v>2</v>
      </c>
      <c r="C682">
        <v>0</v>
      </c>
      <c r="D682">
        <v>249.32</v>
      </c>
      <c r="E682" s="8">
        <v>45803</v>
      </c>
      <c r="F682" t="s">
        <v>568</v>
      </c>
      <c r="G682">
        <v>801</v>
      </c>
      <c r="H682" t="s">
        <v>10</v>
      </c>
    </row>
    <row r="683" spans="1:8" x14ac:dyDescent="0.3">
      <c r="A683">
        <v>701</v>
      </c>
      <c r="B683" t="s">
        <v>3</v>
      </c>
      <c r="C683">
        <v>0</v>
      </c>
      <c r="D683">
        <v>340.18</v>
      </c>
      <c r="E683" s="8">
        <v>45821</v>
      </c>
      <c r="F683" s="8" t="s">
        <v>567</v>
      </c>
      <c r="G683">
        <v>855</v>
      </c>
      <c r="H683" t="s">
        <v>11</v>
      </c>
    </row>
    <row r="684" spans="1:8" x14ac:dyDescent="0.3">
      <c r="A684">
        <v>702</v>
      </c>
      <c r="B684" t="s">
        <v>3</v>
      </c>
      <c r="C684">
        <v>0</v>
      </c>
      <c r="D684">
        <v>333.21</v>
      </c>
      <c r="E684" s="8">
        <v>45806</v>
      </c>
      <c r="F684" t="s">
        <v>568</v>
      </c>
      <c r="G684">
        <v>764</v>
      </c>
      <c r="H684" t="s">
        <v>8</v>
      </c>
    </row>
    <row r="685" spans="1:8" x14ac:dyDescent="0.3">
      <c r="A685">
        <v>703</v>
      </c>
      <c r="B685" t="s">
        <v>2</v>
      </c>
      <c r="C685">
        <v>0</v>
      </c>
      <c r="D685">
        <v>472.8</v>
      </c>
      <c r="E685" s="8">
        <v>45782</v>
      </c>
      <c r="F685" t="s">
        <v>568</v>
      </c>
      <c r="G685">
        <v>660</v>
      </c>
      <c r="H685" t="s">
        <v>9</v>
      </c>
    </row>
    <row r="686" spans="1:8" x14ac:dyDescent="0.3">
      <c r="A686">
        <v>704</v>
      </c>
      <c r="B686" t="s">
        <v>2</v>
      </c>
      <c r="C686">
        <v>0</v>
      </c>
      <c r="D686">
        <v>328.55</v>
      </c>
      <c r="E686" s="8">
        <v>45795</v>
      </c>
      <c r="F686" t="s">
        <v>568</v>
      </c>
      <c r="G686">
        <v>418</v>
      </c>
      <c r="H686" t="s">
        <v>8</v>
      </c>
    </row>
    <row r="687" spans="1:8" x14ac:dyDescent="0.3">
      <c r="A687">
        <v>705</v>
      </c>
      <c r="B687" t="s">
        <v>2</v>
      </c>
      <c r="C687">
        <v>0</v>
      </c>
      <c r="D687">
        <v>190.64</v>
      </c>
      <c r="E687" s="8">
        <v>45765</v>
      </c>
      <c r="F687" s="8" t="s">
        <v>566</v>
      </c>
      <c r="G687">
        <v>47</v>
      </c>
      <c r="H687" t="s">
        <v>7</v>
      </c>
    </row>
    <row r="688" spans="1:8" x14ac:dyDescent="0.3">
      <c r="A688">
        <v>706</v>
      </c>
      <c r="B688" t="s">
        <v>3</v>
      </c>
      <c r="C688">
        <v>0</v>
      </c>
      <c r="D688">
        <v>118.14</v>
      </c>
      <c r="E688" s="8">
        <v>45782</v>
      </c>
      <c r="F688" t="s">
        <v>568</v>
      </c>
      <c r="G688">
        <v>268</v>
      </c>
      <c r="H688" t="s">
        <v>7</v>
      </c>
    </row>
    <row r="689" spans="1:8" x14ac:dyDescent="0.3">
      <c r="A689">
        <v>707</v>
      </c>
      <c r="B689" t="s">
        <v>2</v>
      </c>
      <c r="C689">
        <v>0</v>
      </c>
      <c r="D689">
        <v>89.46</v>
      </c>
      <c r="E689" s="8">
        <v>45800</v>
      </c>
      <c r="F689" t="s">
        <v>568</v>
      </c>
      <c r="G689">
        <v>154</v>
      </c>
      <c r="H689" t="s">
        <v>8</v>
      </c>
    </row>
    <row r="690" spans="1:8" x14ac:dyDescent="0.3">
      <c r="A690">
        <v>708</v>
      </c>
      <c r="B690" t="s">
        <v>3</v>
      </c>
      <c r="C690">
        <v>0</v>
      </c>
      <c r="D690">
        <v>231.49</v>
      </c>
      <c r="E690" s="8">
        <v>45763</v>
      </c>
      <c r="F690" s="8" t="s">
        <v>566</v>
      </c>
      <c r="G690">
        <v>951</v>
      </c>
      <c r="H690" t="s">
        <v>12</v>
      </c>
    </row>
    <row r="691" spans="1:8" x14ac:dyDescent="0.3">
      <c r="A691">
        <v>709</v>
      </c>
      <c r="B691" t="s">
        <v>3</v>
      </c>
      <c r="C691">
        <v>0</v>
      </c>
      <c r="D691">
        <v>284.08</v>
      </c>
      <c r="E691" s="8">
        <v>45775</v>
      </c>
      <c r="F691" s="8" t="s">
        <v>566</v>
      </c>
      <c r="G691">
        <v>596</v>
      </c>
      <c r="H691" t="s">
        <v>9</v>
      </c>
    </row>
    <row r="692" spans="1:8" x14ac:dyDescent="0.3">
      <c r="A692">
        <v>710</v>
      </c>
      <c r="B692" t="s">
        <v>2</v>
      </c>
      <c r="C692">
        <v>0</v>
      </c>
      <c r="D692">
        <v>440.06</v>
      </c>
      <c r="E692" s="8">
        <v>45825</v>
      </c>
      <c r="F692" s="8" t="s">
        <v>567</v>
      </c>
      <c r="G692">
        <v>826</v>
      </c>
      <c r="H692" t="s">
        <v>12</v>
      </c>
    </row>
    <row r="693" spans="1:8" x14ac:dyDescent="0.3">
      <c r="A693">
        <v>711</v>
      </c>
      <c r="B693" t="s">
        <v>3</v>
      </c>
      <c r="C693">
        <v>0</v>
      </c>
      <c r="D693">
        <v>226.56</v>
      </c>
      <c r="E693" s="8">
        <v>45801</v>
      </c>
      <c r="F693" t="s">
        <v>568</v>
      </c>
      <c r="G693">
        <v>695</v>
      </c>
      <c r="H693" t="s">
        <v>11</v>
      </c>
    </row>
    <row r="694" spans="1:8" x14ac:dyDescent="0.3">
      <c r="A694">
        <v>713</v>
      </c>
      <c r="B694" t="s">
        <v>3</v>
      </c>
      <c r="C694">
        <v>0</v>
      </c>
      <c r="D694">
        <v>548.6</v>
      </c>
      <c r="E694" s="8">
        <v>45783</v>
      </c>
      <c r="F694" t="s">
        <v>568</v>
      </c>
      <c r="G694">
        <v>253</v>
      </c>
      <c r="H694" t="s">
        <v>8</v>
      </c>
    </row>
    <row r="695" spans="1:8" x14ac:dyDescent="0.3">
      <c r="A695">
        <v>714</v>
      </c>
      <c r="B695" t="s">
        <v>3</v>
      </c>
      <c r="C695">
        <v>0</v>
      </c>
      <c r="D695">
        <v>181.1</v>
      </c>
      <c r="E695" s="8">
        <v>45765</v>
      </c>
      <c r="F695" s="8" t="s">
        <v>566</v>
      </c>
      <c r="G695">
        <v>764</v>
      </c>
      <c r="H695" t="s">
        <v>8</v>
      </c>
    </row>
    <row r="696" spans="1:8" x14ac:dyDescent="0.3">
      <c r="A696">
        <v>715</v>
      </c>
      <c r="B696" t="s">
        <v>2</v>
      </c>
      <c r="C696">
        <v>0</v>
      </c>
      <c r="D696">
        <v>512.83000000000004</v>
      </c>
      <c r="E696" s="8">
        <v>45823</v>
      </c>
      <c r="F696" s="8" t="s">
        <v>567</v>
      </c>
      <c r="G696">
        <v>830</v>
      </c>
      <c r="H696" t="s">
        <v>9</v>
      </c>
    </row>
    <row r="697" spans="1:8" x14ac:dyDescent="0.3">
      <c r="A697">
        <v>716</v>
      </c>
      <c r="B697" t="s">
        <v>2</v>
      </c>
      <c r="C697">
        <v>0</v>
      </c>
      <c r="D697">
        <v>483.65</v>
      </c>
      <c r="E697" s="8">
        <v>45766</v>
      </c>
      <c r="F697" s="8" t="s">
        <v>566</v>
      </c>
      <c r="G697">
        <v>508</v>
      </c>
      <c r="H697" t="s">
        <v>9</v>
      </c>
    </row>
    <row r="698" spans="1:8" x14ac:dyDescent="0.3">
      <c r="A698">
        <v>718</v>
      </c>
      <c r="B698" t="s">
        <v>3</v>
      </c>
      <c r="C698">
        <v>1</v>
      </c>
      <c r="D698">
        <v>180.9</v>
      </c>
      <c r="E698" s="8">
        <v>45794</v>
      </c>
      <c r="F698" t="s">
        <v>568</v>
      </c>
      <c r="G698">
        <v>952</v>
      </c>
      <c r="H698" t="s">
        <v>9</v>
      </c>
    </row>
    <row r="699" spans="1:8" x14ac:dyDescent="0.3">
      <c r="A699">
        <v>719</v>
      </c>
      <c r="B699" t="s">
        <v>2</v>
      </c>
      <c r="C699">
        <v>0</v>
      </c>
      <c r="D699">
        <v>381.98</v>
      </c>
      <c r="E699" s="8">
        <v>45769</v>
      </c>
      <c r="F699" s="8" t="s">
        <v>566</v>
      </c>
      <c r="G699">
        <v>992</v>
      </c>
      <c r="H699" t="s">
        <v>9</v>
      </c>
    </row>
    <row r="700" spans="1:8" x14ac:dyDescent="0.3">
      <c r="A700">
        <v>72</v>
      </c>
      <c r="B700" t="s">
        <v>2</v>
      </c>
      <c r="C700">
        <v>0</v>
      </c>
      <c r="D700">
        <v>622.14</v>
      </c>
      <c r="E700" s="8">
        <v>45796</v>
      </c>
      <c r="F700" t="s">
        <v>568</v>
      </c>
      <c r="G700">
        <v>710</v>
      </c>
      <c r="H700" t="s">
        <v>8</v>
      </c>
    </row>
    <row r="701" spans="1:8" x14ac:dyDescent="0.3">
      <c r="A701">
        <v>722</v>
      </c>
      <c r="B701" t="s">
        <v>3</v>
      </c>
      <c r="C701">
        <v>0</v>
      </c>
      <c r="D701">
        <v>238.35</v>
      </c>
      <c r="E701" s="8">
        <v>45781</v>
      </c>
      <c r="F701" t="s">
        <v>568</v>
      </c>
      <c r="G701">
        <v>620</v>
      </c>
      <c r="H701" t="s">
        <v>10</v>
      </c>
    </row>
    <row r="702" spans="1:8" x14ac:dyDescent="0.3">
      <c r="A702">
        <v>724</v>
      </c>
      <c r="B702" t="s">
        <v>2</v>
      </c>
      <c r="C702">
        <v>0</v>
      </c>
      <c r="D702">
        <v>183.62</v>
      </c>
      <c r="E702" s="8">
        <v>45807</v>
      </c>
      <c r="F702" t="s">
        <v>568</v>
      </c>
      <c r="G702">
        <v>227</v>
      </c>
      <c r="H702" t="s">
        <v>8</v>
      </c>
    </row>
    <row r="703" spans="1:8" x14ac:dyDescent="0.3">
      <c r="A703">
        <v>725</v>
      </c>
      <c r="B703" t="s">
        <v>3</v>
      </c>
      <c r="C703">
        <v>0</v>
      </c>
      <c r="D703">
        <v>401.53</v>
      </c>
      <c r="E703" s="8">
        <v>45823</v>
      </c>
      <c r="F703" s="8" t="s">
        <v>567</v>
      </c>
      <c r="G703">
        <v>445</v>
      </c>
      <c r="H703" t="s">
        <v>9</v>
      </c>
    </row>
    <row r="704" spans="1:8" x14ac:dyDescent="0.3">
      <c r="A704">
        <v>727</v>
      </c>
      <c r="B704" t="s">
        <v>2</v>
      </c>
      <c r="C704">
        <v>0</v>
      </c>
      <c r="D704">
        <v>330.45</v>
      </c>
      <c r="E704" s="8">
        <v>45769</v>
      </c>
      <c r="F704" s="8" t="s">
        <v>566</v>
      </c>
      <c r="G704">
        <v>834</v>
      </c>
      <c r="H704" t="s">
        <v>10</v>
      </c>
    </row>
    <row r="705" spans="1:8" x14ac:dyDescent="0.3">
      <c r="A705">
        <v>728</v>
      </c>
      <c r="B705" t="s">
        <v>3</v>
      </c>
      <c r="C705">
        <v>1</v>
      </c>
      <c r="D705">
        <v>309.68</v>
      </c>
      <c r="E705" s="8">
        <v>45795</v>
      </c>
      <c r="F705" t="s">
        <v>568</v>
      </c>
      <c r="G705">
        <v>258</v>
      </c>
      <c r="H705" t="s">
        <v>10</v>
      </c>
    </row>
    <row r="706" spans="1:8" x14ac:dyDescent="0.3">
      <c r="A706">
        <v>729</v>
      </c>
      <c r="B706" t="s">
        <v>2</v>
      </c>
      <c r="C706">
        <v>0</v>
      </c>
      <c r="D706">
        <v>350.42</v>
      </c>
      <c r="E706" s="8">
        <v>45774</v>
      </c>
      <c r="F706" s="8" t="s">
        <v>566</v>
      </c>
      <c r="G706">
        <v>190</v>
      </c>
      <c r="H706" t="s">
        <v>9</v>
      </c>
    </row>
    <row r="707" spans="1:8" x14ac:dyDescent="0.3">
      <c r="A707">
        <v>73</v>
      </c>
      <c r="B707" t="s">
        <v>2</v>
      </c>
      <c r="C707">
        <v>0</v>
      </c>
      <c r="D707">
        <v>453.55</v>
      </c>
      <c r="E707" s="8">
        <v>45796</v>
      </c>
      <c r="F707" t="s">
        <v>568</v>
      </c>
      <c r="G707">
        <v>477</v>
      </c>
      <c r="H707" t="s">
        <v>11</v>
      </c>
    </row>
    <row r="708" spans="1:8" x14ac:dyDescent="0.3">
      <c r="A708">
        <v>730</v>
      </c>
      <c r="B708" t="s">
        <v>2</v>
      </c>
      <c r="C708">
        <v>0</v>
      </c>
      <c r="D708">
        <v>191.32</v>
      </c>
      <c r="E708" s="8">
        <v>45796</v>
      </c>
      <c r="F708" t="s">
        <v>568</v>
      </c>
      <c r="G708">
        <v>53</v>
      </c>
      <c r="H708" t="s">
        <v>9</v>
      </c>
    </row>
    <row r="709" spans="1:8" x14ac:dyDescent="0.3">
      <c r="A709">
        <v>736</v>
      </c>
      <c r="B709" t="s">
        <v>2</v>
      </c>
      <c r="C709">
        <v>0</v>
      </c>
      <c r="D709">
        <v>572.20000000000005</v>
      </c>
      <c r="E709" s="8">
        <v>45761</v>
      </c>
      <c r="F709" s="8" t="s">
        <v>566</v>
      </c>
      <c r="G709">
        <v>505</v>
      </c>
      <c r="H709" t="s">
        <v>7</v>
      </c>
    </row>
    <row r="710" spans="1:8" x14ac:dyDescent="0.3">
      <c r="A710">
        <v>737</v>
      </c>
      <c r="B710" t="s">
        <v>2</v>
      </c>
      <c r="C710">
        <v>0</v>
      </c>
      <c r="D710">
        <v>410.06</v>
      </c>
      <c r="E710" s="8">
        <v>45769</v>
      </c>
      <c r="F710" s="8" t="s">
        <v>566</v>
      </c>
      <c r="G710">
        <v>802</v>
      </c>
      <c r="H710" t="s">
        <v>11</v>
      </c>
    </row>
    <row r="711" spans="1:8" x14ac:dyDescent="0.3">
      <c r="A711">
        <v>739</v>
      </c>
      <c r="B711" t="s">
        <v>3</v>
      </c>
      <c r="C711">
        <v>0</v>
      </c>
      <c r="D711">
        <v>350.65</v>
      </c>
      <c r="E711" s="8">
        <v>45782</v>
      </c>
      <c r="F711" t="s">
        <v>568</v>
      </c>
      <c r="G711">
        <v>885</v>
      </c>
      <c r="H711" t="s">
        <v>11</v>
      </c>
    </row>
    <row r="712" spans="1:8" x14ac:dyDescent="0.3">
      <c r="A712">
        <v>740</v>
      </c>
      <c r="B712" t="s">
        <v>2</v>
      </c>
      <c r="C712">
        <v>0</v>
      </c>
      <c r="D712">
        <v>415.23</v>
      </c>
      <c r="E712" s="8">
        <v>45776</v>
      </c>
      <c r="F712" s="8" t="s">
        <v>566</v>
      </c>
      <c r="G712">
        <v>370</v>
      </c>
      <c r="H712" t="s">
        <v>10</v>
      </c>
    </row>
    <row r="713" spans="1:8" x14ac:dyDescent="0.3">
      <c r="A713">
        <v>742</v>
      </c>
      <c r="B713" t="s">
        <v>3</v>
      </c>
      <c r="C713">
        <v>0</v>
      </c>
      <c r="D713">
        <v>227.27</v>
      </c>
      <c r="E713" s="8">
        <v>45767</v>
      </c>
      <c r="F713" s="8" t="s">
        <v>566</v>
      </c>
      <c r="G713">
        <v>123</v>
      </c>
      <c r="H713" t="s">
        <v>9</v>
      </c>
    </row>
    <row r="714" spans="1:8" x14ac:dyDescent="0.3">
      <c r="A714">
        <v>744</v>
      </c>
      <c r="B714" t="s">
        <v>3</v>
      </c>
      <c r="C714">
        <v>0</v>
      </c>
      <c r="D714">
        <v>202.93</v>
      </c>
      <c r="E714" s="8">
        <v>45814</v>
      </c>
      <c r="F714" s="8" t="s">
        <v>567</v>
      </c>
      <c r="G714">
        <v>736</v>
      </c>
      <c r="H714" t="s">
        <v>7</v>
      </c>
    </row>
    <row r="715" spans="1:8" x14ac:dyDescent="0.3">
      <c r="A715">
        <v>745</v>
      </c>
      <c r="B715" t="s">
        <v>2</v>
      </c>
      <c r="C715">
        <v>0</v>
      </c>
      <c r="D715">
        <v>120.29</v>
      </c>
      <c r="E715" s="8">
        <v>45775</v>
      </c>
      <c r="F715" s="8" t="s">
        <v>566</v>
      </c>
      <c r="G715">
        <v>556</v>
      </c>
      <c r="H715" t="s">
        <v>9</v>
      </c>
    </row>
    <row r="716" spans="1:8" x14ac:dyDescent="0.3">
      <c r="A716">
        <v>746</v>
      </c>
      <c r="B716" t="s">
        <v>2</v>
      </c>
      <c r="C716">
        <v>0</v>
      </c>
      <c r="D716">
        <v>302.39999999999998</v>
      </c>
      <c r="E716" s="8">
        <v>45793</v>
      </c>
      <c r="F716" t="s">
        <v>568</v>
      </c>
      <c r="G716">
        <v>522</v>
      </c>
      <c r="H716" t="s">
        <v>11</v>
      </c>
    </row>
    <row r="717" spans="1:8" x14ac:dyDescent="0.3">
      <c r="A717">
        <v>747</v>
      </c>
      <c r="B717" t="s">
        <v>3</v>
      </c>
      <c r="C717">
        <v>0</v>
      </c>
      <c r="D717">
        <v>250.93</v>
      </c>
      <c r="E717" s="8">
        <v>45768</v>
      </c>
      <c r="F717" s="8" t="s">
        <v>566</v>
      </c>
      <c r="G717">
        <v>442</v>
      </c>
      <c r="H717" t="s">
        <v>7</v>
      </c>
    </row>
    <row r="718" spans="1:8" x14ac:dyDescent="0.3">
      <c r="A718">
        <v>749</v>
      </c>
      <c r="B718" t="s">
        <v>2</v>
      </c>
      <c r="C718">
        <v>0</v>
      </c>
      <c r="D718">
        <v>240.91</v>
      </c>
      <c r="E718" s="8">
        <v>45773</v>
      </c>
      <c r="F718" s="8" t="s">
        <v>566</v>
      </c>
      <c r="G718">
        <v>993</v>
      </c>
      <c r="H718" t="s">
        <v>7</v>
      </c>
    </row>
    <row r="719" spans="1:8" x14ac:dyDescent="0.3">
      <c r="A719">
        <v>75</v>
      </c>
      <c r="B719" t="s">
        <v>3</v>
      </c>
      <c r="C719">
        <v>0</v>
      </c>
      <c r="D719">
        <v>526.82000000000005</v>
      </c>
      <c r="E719" s="8">
        <v>45799</v>
      </c>
      <c r="F719" t="s">
        <v>568</v>
      </c>
      <c r="G719">
        <v>469</v>
      </c>
      <c r="H719" t="s">
        <v>9</v>
      </c>
    </row>
    <row r="720" spans="1:8" x14ac:dyDescent="0.3">
      <c r="A720">
        <v>750</v>
      </c>
      <c r="B720" t="s">
        <v>2</v>
      </c>
      <c r="C720">
        <v>0</v>
      </c>
      <c r="D720">
        <v>230.45</v>
      </c>
      <c r="E720" s="8">
        <v>45763</v>
      </c>
      <c r="F720" s="8" t="s">
        <v>566</v>
      </c>
      <c r="G720">
        <v>665</v>
      </c>
      <c r="H720" t="s">
        <v>12</v>
      </c>
    </row>
    <row r="721" spans="1:8" x14ac:dyDescent="0.3">
      <c r="A721">
        <v>751</v>
      </c>
      <c r="B721" t="s">
        <v>2</v>
      </c>
      <c r="C721">
        <v>0</v>
      </c>
      <c r="D721">
        <v>342.96</v>
      </c>
      <c r="E721" s="8">
        <v>45824</v>
      </c>
      <c r="F721" s="8" t="s">
        <v>567</v>
      </c>
      <c r="G721">
        <v>811</v>
      </c>
      <c r="H721" t="s">
        <v>8</v>
      </c>
    </row>
    <row r="722" spans="1:8" x14ac:dyDescent="0.3">
      <c r="A722">
        <v>753</v>
      </c>
      <c r="B722" t="s">
        <v>3</v>
      </c>
      <c r="C722">
        <v>0</v>
      </c>
      <c r="D722">
        <v>368.2</v>
      </c>
      <c r="E722" s="8">
        <v>45752</v>
      </c>
      <c r="F722" s="8" t="s">
        <v>566</v>
      </c>
      <c r="G722">
        <v>684</v>
      </c>
      <c r="H722" t="s">
        <v>10</v>
      </c>
    </row>
    <row r="723" spans="1:8" x14ac:dyDescent="0.3">
      <c r="A723">
        <v>755</v>
      </c>
      <c r="B723" t="s">
        <v>3</v>
      </c>
      <c r="C723">
        <v>0</v>
      </c>
      <c r="D723">
        <v>298.02</v>
      </c>
      <c r="E723" s="8">
        <v>45822</v>
      </c>
      <c r="F723" s="8" t="s">
        <v>567</v>
      </c>
      <c r="G723">
        <v>369</v>
      </c>
      <c r="H723" t="s">
        <v>10</v>
      </c>
    </row>
    <row r="724" spans="1:8" x14ac:dyDescent="0.3">
      <c r="A724">
        <v>756</v>
      </c>
      <c r="B724" t="s">
        <v>2</v>
      </c>
      <c r="C724">
        <v>0</v>
      </c>
      <c r="D724">
        <v>481.76</v>
      </c>
      <c r="E724" s="8">
        <v>45821</v>
      </c>
      <c r="F724" s="8" t="s">
        <v>567</v>
      </c>
      <c r="G724">
        <v>499</v>
      </c>
      <c r="H724" t="s">
        <v>8</v>
      </c>
    </row>
    <row r="725" spans="1:8" x14ac:dyDescent="0.3">
      <c r="A725">
        <v>757</v>
      </c>
      <c r="B725" t="s">
        <v>2</v>
      </c>
      <c r="C725">
        <v>0</v>
      </c>
      <c r="D725">
        <v>309.83</v>
      </c>
      <c r="E725" s="8">
        <v>45773</v>
      </c>
      <c r="F725" s="8" t="s">
        <v>566</v>
      </c>
      <c r="G725">
        <v>161</v>
      </c>
      <c r="H725" t="s">
        <v>11</v>
      </c>
    </row>
    <row r="726" spans="1:8" x14ac:dyDescent="0.3">
      <c r="A726">
        <v>760</v>
      </c>
      <c r="B726" t="s">
        <v>2</v>
      </c>
      <c r="C726">
        <v>0</v>
      </c>
      <c r="D726">
        <v>248.96</v>
      </c>
      <c r="E726" s="8">
        <v>45751</v>
      </c>
      <c r="F726" s="8" t="s">
        <v>566</v>
      </c>
      <c r="G726">
        <v>172</v>
      </c>
      <c r="H726" t="s">
        <v>9</v>
      </c>
    </row>
    <row r="727" spans="1:8" x14ac:dyDescent="0.3">
      <c r="A727">
        <v>761</v>
      </c>
      <c r="B727" t="s">
        <v>2</v>
      </c>
      <c r="C727">
        <v>0</v>
      </c>
      <c r="D727">
        <v>232.67</v>
      </c>
      <c r="E727" s="8">
        <v>45808</v>
      </c>
      <c r="F727" t="s">
        <v>568</v>
      </c>
      <c r="G727">
        <v>858</v>
      </c>
      <c r="H727" t="s">
        <v>7</v>
      </c>
    </row>
    <row r="728" spans="1:8" x14ac:dyDescent="0.3">
      <c r="A728">
        <v>762</v>
      </c>
      <c r="B728" t="s">
        <v>2</v>
      </c>
      <c r="C728">
        <v>0</v>
      </c>
      <c r="D728">
        <v>222.42</v>
      </c>
      <c r="E728" s="8">
        <v>45821</v>
      </c>
      <c r="F728" s="8" t="s">
        <v>567</v>
      </c>
      <c r="G728">
        <v>76</v>
      </c>
      <c r="H728" t="s">
        <v>7</v>
      </c>
    </row>
    <row r="729" spans="1:8" x14ac:dyDescent="0.3">
      <c r="A729">
        <v>763</v>
      </c>
      <c r="B729" t="s">
        <v>2</v>
      </c>
      <c r="C729">
        <v>0</v>
      </c>
      <c r="D729">
        <v>301.16000000000003</v>
      </c>
      <c r="E729" s="8">
        <v>45768</v>
      </c>
      <c r="F729" s="8" t="s">
        <v>566</v>
      </c>
      <c r="G729">
        <v>602</v>
      </c>
      <c r="H729" t="s">
        <v>12</v>
      </c>
    </row>
    <row r="730" spans="1:8" x14ac:dyDescent="0.3">
      <c r="A730">
        <v>765</v>
      </c>
      <c r="B730" t="s">
        <v>2</v>
      </c>
      <c r="C730">
        <v>0</v>
      </c>
      <c r="D730">
        <v>536.98</v>
      </c>
      <c r="E730" s="8">
        <v>45767</v>
      </c>
      <c r="F730" s="8" t="s">
        <v>566</v>
      </c>
      <c r="G730">
        <v>417</v>
      </c>
      <c r="H730" t="s">
        <v>11</v>
      </c>
    </row>
    <row r="731" spans="1:8" x14ac:dyDescent="0.3">
      <c r="A731">
        <v>766</v>
      </c>
      <c r="B731" t="s">
        <v>3</v>
      </c>
      <c r="C731">
        <v>0</v>
      </c>
      <c r="D731">
        <v>399.31</v>
      </c>
      <c r="E731" s="8">
        <v>45824</v>
      </c>
      <c r="F731" s="8" t="s">
        <v>567</v>
      </c>
      <c r="G731">
        <v>955</v>
      </c>
      <c r="H731" t="s">
        <v>12</v>
      </c>
    </row>
    <row r="732" spans="1:8" x14ac:dyDescent="0.3">
      <c r="A732">
        <v>767</v>
      </c>
      <c r="B732" t="s">
        <v>3</v>
      </c>
      <c r="C732">
        <v>0</v>
      </c>
      <c r="D732">
        <v>423.12</v>
      </c>
      <c r="E732" s="8">
        <v>45766</v>
      </c>
      <c r="F732" s="8" t="s">
        <v>566</v>
      </c>
      <c r="G732">
        <v>427</v>
      </c>
      <c r="H732" t="s">
        <v>11</v>
      </c>
    </row>
    <row r="733" spans="1:8" x14ac:dyDescent="0.3">
      <c r="A733">
        <v>768</v>
      </c>
      <c r="B733" t="s">
        <v>2</v>
      </c>
      <c r="C733">
        <v>0</v>
      </c>
      <c r="D733">
        <v>220.42</v>
      </c>
      <c r="E733" s="8">
        <v>45805</v>
      </c>
      <c r="F733" t="s">
        <v>568</v>
      </c>
      <c r="G733">
        <v>247</v>
      </c>
      <c r="H733" t="s">
        <v>10</v>
      </c>
    </row>
    <row r="734" spans="1:8" x14ac:dyDescent="0.3">
      <c r="A734">
        <v>769</v>
      </c>
      <c r="B734" t="s">
        <v>2</v>
      </c>
      <c r="C734">
        <v>0</v>
      </c>
      <c r="D734">
        <v>490.92</v>
      </c>
      <c r="E734" s="8">
        <v>45782</v>
      </c>
      <c r="F734" t="s">
        <v>568</v>
      </c>
      <c r="G734">
        <v>501</v>
      </c>
      <c r="H734" t="s">
        <v>9</v>
      </c>
    </row>
    <row r="735" spans="1:8" x14ac:dyDescent="0.3">
      <c r="A735">
        <v>770</v>
      </c>
      <c r="B735" t="s">
        <v>2</v>
      </c>
      <c r="C735">
        <v>0</v>
      </c>
      <c r="D735">
        <v>430.6</v>
      </c>
      <c r="E735" s="8">
        <v>45775</v>
      </c>
      <c r="F735" s="8" t="s">
        <v>566</v>
      </c>
      <c r="G735">
        <v>714</v>
      </c>
      <c r="H735" t="s">
        <v>12</v>
      </c>
    </row>
    <row r="736" spans="1:8" x14ac:dyDescent="0.3">
      <c r="A736">
        <v>772</v>
      </c>
      <c r="B736" t="s">
        <v>2</v>
      </c>
      <c r="C736">
        <v>0</v>
      </c>
      <c r="D736">
        <v>334.34</v>
      </c>
      <c r="E736" s="8">
        <v>45775</v>
      </c>
      <c r="F736" s="8" t="s">
        <v>566</v>
      </c>
      <c r="G736">
        <v>970</v>
      </c>
      <c r="H736" t="s">
        <v>7</v>
      </c>
    </row>
    <row r="737" spans="1:8" x14ac:dyDescent="0.3">
      <c r="A737">
        <v>774</v>
      </c>
      <c r="B737" t="s">
        <v>3</v>
      </c>
      <c r="C737">
        <v>0</v>
      </c>
      <c r="D737">
        <v>335.05</v>
      </c>
      <c r="E737" s="8">
        <v>45799</v>
      </c>
      <c r="F737" t="s">
        <v>568</v>
      </c>
      <c r="G737">
        <v>798</v>
      </c>
      <c r="H737" t="s">
        <v>12</v>
      </c>
    </row>
    <row r="738" spans="1:8" x14ac:dyDescent="0.3">
      <c r="A738">
        <v>776</v>
      </c>
      <c r="B738" t="s">
        <v>2</v>
      </c>
      <c r="C738">
        <v>0</v>
      </c>
      <c r="D738">
        <v>294.06</v>
      </c>
      <c r="E738" s="8">
        <v>45795</v>
      </c>
      <c r="F738" t="s">
        <v>568</v>
      </c>
      <c r="G738">
        <v>361</v>
      </c>
      <c r="H738" t="s">
        <v>10</v>
      </c>
    </row>
    <row r="739" spans="1:8" x14ac:dyDescent="0.3">
      <c r="A739">
        <v>777</v>
      </c>
      <c r="B739" t="s">
        <v>2</v>
      </c>
      <c r="C739">
        <v>0</v>
      </c>
      <c r="D739">
        <v>310.70999999999998</v>
      </c>
      <c r="E739" s="8">
        <v>45805</v>
      </c>
      <c r="F739" t="s">
        <v>568</v>
      </c>
      <c r="G739">
        <v>572</v>
      </c>
      <c r="H739" t="s">
        <v>10</v>
      </c>
    </row>
    <row r="740" spans="1:8" x14ac:dyDescent="0.3">
      <c r="A740">
        <v>778</v>
      </c>
      <c r="B740" t="s">
        <v>2</v>
      </c>
      <c r="C740">
        <v>0</v>
      </c>
      <c r="D740">
        <v>96.18</v>
      </c>
      <c r="E740" s="8">
        <v>45760</v>
      </c>
      <c r="F740" s="8" t="s">
        <v>566</v>
      </c>
      <c r="G740">
        <v>548</v>
      </c>
      <c r="H740" t="s">
        <v>7</v>
      </c>
    </row>
    <row r="741" spans="1:8" x14ac:dyDescent="0.3">
      <c r="A741">
        <v>779</v>
      </c>
      <c r="B741" t="s">
        <v>3</v>
      </c>
      <c r="C741">
        <v>0</v>
      </c>
      <c r="D741">
        <v>194.09</v>
      </c>
      <c r="E741" s="8">
        <v>45764</v>
      </c>
      <c r="F741" s="8" t="s">
        <v>566</v>
      </c>
      <c r="G741">
        <v>577</v>
      </c>
      <c r="H741" t="s">
        <v>10</v>
      </c>
    </row>
    <row r="742" spans="1:8" x14ac:dyDescent="0.3">
      <c r="A742">
        <v>78</v>
      </c>
      <c r="B742" t="s">
        <v>2</v>
      </c>
      <c r="C742">
        <v>0</v>
      </c>
      <c r="D742">
        <v>683.47</v>
      </c>
      <c r="E742" s="8">
        <v>45795</v>
      </c>
      <c r="F742" t="s">
        <v>568</v>
      </c>
      <c r="G742">
        <v>321</v>
      </c>
      <c r="H742" t="s">
        <v>7</v>
      </c>
    </row>
    <row r="743" spans="1:8" x14ac:dyDescent="0.3">
      <c r="A743">
        <v>780</v>
      </c>
      <c r="B743" t="s">
        <v>3</v>
      </c>
      <c r="C743">
        <v>0</v>
      </c>
      <c r="D743">
        <v>242.5</v>
      </c>
      <c r="E743" s="8">
        <v>45760</v>
      </c>
      <c r="F743" s="8" t="s">
        <v>566</v>
      </c>
      <c r="G743">
        <v>407</v>
      </c>
      <c r="H743" t="s">
        <v>9</v>
      </c>
    </row>
    <row r="744" spans="1:8" x14ac:dyDescent="0.3">
      <c r="A744">
        <v>781</v>
      </c>
      <c r="B744" t="s">
        <v>3</v>
      </c>
      <c r="C744">
        <v>0</v>
      </c>
      <c r="D744">
        <v>232.42</v>
      </c>
      <c r="E744" s="8">
        <v>45770</v>
      </c>
      <c r="F744" s="8" t="s">
        <v>566</v>
      </c>
      <c r="G744">
        <v>639</v>
      </c>
      <c r="H744" t="s">
        <v>9</v>
      </c>
    </row>
    <row r="745" spans="1:8" x14ac:dyDescent="0.3">
      <c r="A745">
        <v>782</v>
      </c>
      <c r="B745" t="s">
        <v>3</v>
      </c>
      <c r="C745">
        <v>0</v>
      </c>
      <c r="D745">
        <v>400.44</v>
      </c>
      <c r="E745" s="8">
        <v>45760</v>
      </c>
      <c r="F745" s="8" t="s">
        <v>566</v>
      </c>
      <c r="G745">
        <v>19</v>
      </c>
      <c r="H745" t="s">
        <v>7</v>
      </c>
    </row>
    <row r="746" spans="1:8" x14ac:dyDescent="0.3">
      <c r="A746">
        <v>785</v>
      </c>
      <c r="B746" t="s">
        <v>3</v>
      </c>
      <c r="C746">
        <v>0</v>
      </c>
      <c r="D746">
        <v>200.97</v>
      </c>
      <c r="E746" s="8">
        <v>45808</v>
      </c>
      <c r="F746" t="s">
        <v>568</v>
      </c>
      <c r="G746">
        <v>393</v>
      </c>
      <c r="H746" t="s">
        <v>8</v>
      </c>
    </row>
    <row r="747" spans="1:8" x14ac:dyDescent="0.3">
      <c r="A747">
        <v>787</v>
      </c>
      <c r="B747" t="s">
        <v>2</v>
      </c>
      <c r="C747">
        <v>0</v>
      </c>
      <c r="D747">
        <v>282.36</v>
      </c>
      <c r="E747" s="8">
        <v>45825</v>
      </c>
      <c r="F747" s="8" t="s">
        <v>567</v>
      </c>
      <c r="G747">
        <v>610</v>
      </c>
      <c r="H747" t="s">
        <v>8</v>
      </c>
    </row>
    <row r="748" spans="1:8" x14ac:dyDescent="0.3">
      <c r="A748">
        <v>790</v>
      </c>
      <c r="B748" t="s">
        <v>2</v>
      </c>
      <c r="C748">
        <v>0</v>
      </c>
      <c r="D748">
        <v>639.14</v>
      </c>
      <c r="E748" s="8">
        <v>45766</v>
      </c>
      <c r="F748" s="8" t="s">
        <v>566</v>
      </c>
      <c r="G748">
        <v>829</v>
      </c>
      <c r="H748" t="s">
        <v>12</v>
      </c>
    </row>
    <row r="749" spans="1:8" x14ac:dyDescent="0.3">
      <c r="A749">
        <v>794</v>
      </c>
      <c r="B749" t="s">
        <v>3</v>
      </c>
      <c r="C749">
        <v>0</v>
      </c>
      <c r="D749">
        <v>230.88</v>
      </c>
      <c r="E749" s="8">
        <v>45801</v>
      </c>
      <c r="F749" t="s">
        <v>568</v>
      </c>
      <c r="G749">
        <v>215</v>
      </c>
      <c r="H749" t="s">
        <v>10</v>
      </c>
    </row>
    <row r="750" spans="1:8" x14ac:dyDescent="0.3">
      <c r="A750">
        <v>795</v>
      </c>
      <c r="B750" t="s">
        <v>3</v>
      </c>
      <c r="C750">
        <v>0</v>
      </c>
      <c r="D750">
        <v>275.01</v>
      </c>
      <c r="E750" s="8">
        <v>45768</v>
      </c>
      <c r="F750" s="8" t="s">
        <v>566</v>
      </c>
      <c r="G750">
        <v>741</v>
      </c>
      <c r="H750" t="s">
        <v>12</v>
      </c>
    </row>
    <row r="751" spans="1:8" x14ac:dyDescent="0.3">
      <c r="A751">
        <v>796</v>
      </c>
      <c r="B751" t="s">
        <v>3</v>
      </c>
      <c r="C751">
        <v>0</v>
      </c>
      <c r="D751">
        <v>186.54</v>
      </c>
      <c r="E751" s="8">
        <v>45781</v>
      </c>
      <c r="F751" t="s">
        <v>568</v>
      </c>
      <c r="G751">
        <v>754</v>
      </c>
      <c r="H751" t="s">
        <v>11</v>
      </c>
    </row>
    <row r="752" spans="1:8" x14ac:dyDescent="0.3">
      <c r="A752">
        <v>797</v>
      </c>
      <c r="B752" t="s">
        <v>2</v>
      </c>
      <c r="C752">
        <v>0</v>
      </c>
      <c r="D752">
        <v>266.89999999999998</v>
      </c>
      <c r="E752" s="8">
        <v>45798</v>
      </c>
      <c r="F752" t="s">
        <v>568</v>
      </c>
      <c r="G752">
        <v>657</v>
      </c>
      <c r="H752" t="s">
        <v>9</v>
      </c>
    </row>
    <row r="753" spans="1:8" x14ac:dyDescent="0.3">
      <c r="A753">
        <v>798</v>
      </c>
      <c r="B753" t="s">
        <v>2</v>
      </c>
      <c r="C753">
        <v>0</v>
      </c>
      <c r="D753">
        <v>341.26</v>
      </c>
      <c r="E753" s="8">
        <v>45751</v>
      </c>
      <c r="F753" s="8" t="s">
        <v>566</v>
      </c>
      <c r="G753">
        <v>565</v>
      </c>
      <c r="H753" t="s">
        <v>11</v>
      </c>
    </row>
    <row r="754" spans="1:8" x14ac:dyDescent="0.3">
      <c r="A754">
        <v>799</v>
      </c>
      <c r="B754" t="s">
        <v>3</v>
      </c>
      <c r="C754">
        <v>0</v>
      </c>
      <c r="D754">
        <v>251.92</v>
      </c>
      <c r="E754" s="8">
        <v>45763</v>
      </c>
      <c r="F754" s="8" t="s">
        <v>566</v>
      </c>
      <c r="G754">
        <v>897</v>
      </c>
      <c r="H754" t="s">
        <v>8</v>
      </c>
    </row>
    <row r="755" spans="1:8" x14ac:dyDescent="0.3">
      <c r="A755">
        <v>8</v>
      </c>
      <c r="B755" t="s">
        <v>3</v>
      </c>
      <c r="C755">
        <v>0</v>
      </c>
      <c r="D755">
        <v>408.13</v>
      </c>
      <c r="E755" s="8">
        <v>45803</v>
      </c>
      <c r="F755" t="s">
        <v>568</v>
      </c>
      <c r="G755">
        <v>277</v>
      </c>
      <c r="H755" t="s">
        <v>9</v>
      </c>
    </row>
    <row r="756" spans="1:8" x14ac:dyDescent="0.3">
      <c r="A756">
        <v>80</v>
      </c>
      <c r="B756" t="s">
        <v>2</v>
      </c>
      <c r="C756">
        <v>0</v>
      </c>
      <c r="D756">
        <v>369.31</v>
      </c>
      <c r="E756" s="8">
        <v>45802</v>
      </c>
      <c r="F756" t="s">
        <v>568</v>
      </c>
      <c r="G756">
        <v>735</v>
      </c>
      <c r="H756" t="s">
        <v>8</v>
      </c>
    </row>
    <row r="757" spans="1:8" x14ac:dyDescent="0.3">
      <c r="A757">
        <v>800</v>
      </c>
      <c r="B757" t="s">
        <v>2</v>
      </c>
      <c r="C757">
        <v>0</v>
      </c>
      <c r="D757">
        <v>555.4</v>
      </c>
      <c r="E757" s="8">
        <v>45801</v>
      </c>
      <c r="F757" t="s">
        <v>568</v>
      </c>
      <c r="G757">
        <v>96</v>
      </c>
      <c r="H757" t="s">
        <v>9</v>
      </c>
    </row>
    <row r="758" spans="1:8" x14ac:dyDescent="0.3">
      <c r="A758">
        <v>801</v>
      </c>
      <c r="B758" t="s">
        <v>2</v>
      </c>
      <c r="C758">
        <v>0</v>
      </c>
      <c r="D758">
        <v>476.87</v>
      </c>
      <c r="E758" s="8">
        <v>45751</v>
      </c>
      <c r="F758" s="8" t="s">
        <v>566</v>
      </c>
      <c r="G758">
        <v>876</v>
      </c>
      <c r="H758" t="s">
        <v>9</v>
      </c>
    </row>
    <row r="759" spans="1:8" x14ac:dyDescent="0.3">
      <c r="A759">
        <v>802</v>
      </c>
      <c r="B759" t="s">
        <v>3</v>
      </c>
      <c r="C759">
        <v>0</v>
      </c>
      <c r="D759">
        <v>456.18</v>
      </c>
      <c r="E759" s="8">
        <v>45777</v>
      </c>
      <c r="F759" s="8" t="s">
        <v>566</v>
      </c>
      <c r="G759">
        <v>920</v>
      </c>
      <c r="H759" t="s">
        <v>11</v>
      </c>
    </row>
    <row r="760" spans="1:8" x14ac:dyDescent="0.3">
      <c r="A760">
        <v>808</v>
      </c>
      <c r="B760" t="s">
        <v>2</v>
      </c>
      <c r="C760">
        <v>0</v>
      </c>
      <c r="D760">
        <v>168.3</v>
      </c>
      <c r="E760" s="8">
        <v>45774</v>
      </c>
      <c r="F760" s="8" t="s">
        <v>566</v>
      </c>
      <c r="G760">
        <v>153</v>
      </c>
      <c r="H760" t="s">
        <v>8</v>
      </c>
    </row>
    <row r="761" spans="1:8" x14ac:dyDescent="0.3">
      <c r="A761">
        <v>81</v>
      </c>
      <c r="B761" t="s">
        <v>3</v>
      </c>
      <c r="C761">
        <v>1</v>
      </c>
      <c r="D761">
        <v>449.17</v>
      </c>
      <c r="E761" s="8">
        <v>45795</v>
      </c>
      <c r="F761" t="s">
        <v>568</v>
      </c>
      <c r="G761">
        <v>130</v>
      </c>
      <c r="H761" t="s">
        <v>7</v>
      </c>
    </row>
    <row r="762" spans="1:8" x14ac:dyDescent="0.3">
      <c r="A762">
        <v>810</v>
      </c>
      <c r="B762" t="s">
        <v>3</v>
      </c>
      <c r="C762">
        <v>0</v>
      </c>
      <c r="D762">
        <v>319.98</v>
      </c>
      <c r="E762" s="8">
        <v>45824</v>
      </c>
      <c r="F762" s="8" t="s">
        <v>567</v>
      </c>
      <c r="G762">
        <v>913</v>
      </c>
      <c r="H762" t="s">
        <v>12</v>
      </c>
    </row>
    <row r="763" spans="1:8" x14ac:dyDescent="0.3">
      <c r="A763">
        <v>811</v>
      </c>
      <c r="B763" t="s">
        <v>3</v>
      </c>
      <c r="C763">
        <v>0</v>
      </c>
      <c r="D763">
        <v>427.27</v>
      </c>
      <c r="E763" s="8">
        <v>45774</v>
      </c>
      <c r="F763" s="8" t="s">
        <v>566</v>
      </c>
      <c r="G763">
        <v>29</v>
      </c>
      <c r="H763" t="s">
        <v>11</v>
      </c>
    </row>
    <row r="764" spans="1:8" x14ac:dyDescent="0.3">
      <c r="A764">
        <v>812</v>
      </c>
      <c r="B764" t="s">
        <v>2</v>
      </c>
      <c r="C764">
        <v>0</v>
      </c>
      <c r="D764">
        <v>246.26</v>
      </c>
      <c r="E764" s="8">
        <v>45768</v>
      </c>
      <c r="F764" s="8" t="s">
        <v>566</v>
      </c>
      <c r="G764">
        <v>256</v>
      </c>
      <c r="H764" t="s">
        <v>9</v>
      </c>
    </row>
    <row r="765" spans="1:8" x14ac:dyDescent="0.3">
      <c r="A765">
        <v>815</v>
      </c>
      <c r="B765" t="s">
        <v>3</v>
      </c>
      <c r="C765">
        <v>0</v>
      </c>
      <c r="D765">
        <v>160.88999999999999</v>
      </c>
      <c r="E765" s="8">
        <v>45774</v>
      </c>
      <c r="F765" s="8" t="s">
        <v>566</v>
      </c>
      <c r="G765">
        <v>506</v>
      </c>
      <c r="H765" t="s">
        <v>8</v>
      </c>
    </row>
    <row r="766" spans="1:8" x14ac:dyDescent="0.3">
      <c r="A766">
        <v>816</v>
      </c>
      <c r="B766" t="s">
        <v>3</v>
      </c>
      <c r="C766">
        <v>1</v>
      </c>
      <c r="D766">
        <v>160.13999999999999</v>
      </c>
      <c r="E766" s="8">
        <v>45792</v>
      </c>
      <c r="F766" t="s">
        <v>568</v>
      </c>
      <c r="G766">
        <v>456</v>
      </c>
      <c r="H766" t="s">
        <v>9</v>
      </c>
    </row>
    <row r="767" spans="1:8" x14ac:dyDescent="0.3">
      <c r="A767">
        <v>817</v>
      </c>
      <c r="B767" t="s">
        <v>2</v>
      </c>
      <c r="C767">
        <v>1</v>
      </c>
      <c r="D767">
        <v>67.02</v>
      </c>
      <c r="E767" s="8">
        <v>45783</v>
      </c>
      <c r="F767" t="s">
        <v>568</v>
      </c>
      <c r="G767">
        <v>485</v>
      </c>
      <c r="H767" t="s">
        <v>10</v>
      </c>
    </row>
    <row r="768" spans="1:8" x14ac:dyDescent="0.3">
      <c r="A768">
        <v>818</v>
      </c>
      <c r="B768" t="s">
        <v>2</v>
      </c>
      <c r="C768">
        <v>0</v>
      </c>
      <c r="D768">
        <v>250.7</v>
      </c>
      <c r="E768" s="8">
        <v>45824</v>
      </c>
      <c r="F768" s="8" t="s">
        <v>567</v>
      </c>
      <c r="G768">
        <v>473</v>
      </c>
      <c r="H768" t="s">
        <v>8</v>
      </c>
    </row>
    <row r="769" spans="1:8" x14ac:dyDescent="0.3">
      <c r="A769">
        <v>819</v>
      </c>
      <c r="B769" t="s">
        <v>2</v>
      </c>
      <c r="C769">
        <v>0</v>
      </c>
      <c r="D769">
        <v>143.36000000000001</v>
      </c>
      <c r="E769" s="8">
        <v>45773</v>
      </c>
      <c r="F769" s="8" t="s">
        <v>566</v>
      </c>
      <c r="G769">
        <v>653</v>
      </c>
      <c r="H769" t="s">
        <v>12</v>
      </c>
    </row>
    <row r="770" spans="1:8" x14ac:dyDescent="0.3">
      <c r="A770">
        <v>82</v>
      </c>
      <c r="B770" t="s">
        <v>2</v>
      </c>
      <c r="C770">
        <v>0</v>
      </c>
      <c r="D770">
        <v>753.88</v>
      </c>
      <c r="E770" s="8">
        <v>45761</v>
      </c>
      <c r="F770" s="8" t="s">
        <v>566</v>
      </c>
      <c r="G770">
        <v>872</v>
      </c>
      <c r="H770" t="s">
        <v>10</v>
      </c>
    </row>
    <row r="771" spans="1:8" x14ac:dyDescent="0.3">
      <c r="A771">
        <v>820</v>
      </c>
      <c r="B771" t="s">
        <v>2</v>
      </c>
      <c r="C771">
        <v>0</v>
      </c>
      <c r="D771">
        <v>463.74</v>
      </c>
      <c r="E771" s="8">
        <v>45767</v>
      </c>
      <c r="F771" s="8" t="s">
        <v>566</v>
      </c>
      <c r="G771">
        <v>280</v>
      </c>
      <c r="H771" t="s">
        <v>7</v>
      </c>
    </row>
    <row r="772" spans="1:8" x14ac:dyDescent="0.3">
      <c r="A772">
        <v>821</v>
      </c>
      <c r="B772" t="s">
        <v>3</v>
      </c>
      <c r="C772">
        <v>1</v>
      </c>
      <c r="D772">
        <v>262.23</v>
      </c>
      <c r="E772" s="8">
        <v>45791</v>
      </c>
      <c r="F772" t="s">
        <v>568</v>
      </c>
      <c r="G772">
        <v>233</v>
      </c>
      <c r="H772" t="s">
        <v>8</v>
      </c>
    </row>
    <row r="773" spans="1:8" x14ac:dyDescent="0.3">
      <c r="A773">
        <v>822</v>
      </c>
      <c r="B773" t="s">
        <v>3</v>
      </c>
      <c r="C773">
        <v>1</v>
      </c>
      <c r="D773">
        <v>202.69</v>
      </c>
      <c r="E773" s="8">
        <v>45795</v>
      </c>
      <c r="F773" t="s">
        <v>568</v>
      </c>
      <c r="G773">
        <v>690</v>
      </c>
      <c r="H773" t="s">
        <v>11</v>
      </c>
    </row>
    <row r="774" spans="1:8" x14ac:dyDescent="0.3">
      <c r="A774">
        <v>823</v>
      </c>
      <c r="B774" t="s">
        <v>3</v>
      </c>
      <c r="C774">
        <v>0</v>
      </c>
      <c r="D774">
        <v>480.96</v>
      </c>
      <c r="E774" s="8">
        <v>45771</v>
      </c>
      <c r="F774" s="8" t="s">
        <v>566</v>
      </c>
      <c r="G774">
        <v>323</v>
      </c>
      <c r="H774" t="s">
        <v>10</v>
      </c>
    </row>
    <row r="775" spans="1:8" x14ac:dyDescent="0.3">
      <c r="A775">
        <v>824</v>
      </c>
      <c r="B775" t="s">
        <v>2</v>
      </c>
      <c r="C775">
        <v>0</v>
      </c>
      <c r="D775">
        <v>223.28</v>
      </c>
      <c r="E775" s="8">
        <v>45782</v>
      </c>
      <c r="F775" t="s">
        <v>568</v>
      </c>
      <c r="G775">
        <v>604</v>
      </c>
      <c r="H775" t="s">
        <v>9</v>
      </c>
    </row>
    <row r="776" spans="1:8" x14ac:dyDescent="0.3">
      <c r="A776">
        <v>825</v>
      </c>
      <c r="B776" t="s">
        <v>3</v>
      </c>
      <c r="C776">
        <v>1</v>
      </c>
      <c r="D776">
        <v>295.16000000000003</v>
      </c>
      <c r="E776" s="8">
        <v>45790</v>
      </c>
      <c r="F776" t="s">
        <v>568</v>
      </c>
      <c r="G776">
        <v>643</v>
      </c>
      <c r="H776" t="s">
        <v>12</v>
      </c>
    </row>
    <row r="777" spans="1:8" x14ac:dyDescent="0.3">
      <c r="A777">
        <v>827</v>
      </c>
      <c r="B777" t="s">
        <v>2</v>
      </c>
      <c r="C777">
        <v>0</v>
      </c>
      <c r="D777">
        <v>251.9</v>
      </c>
      <c r="E777" s="8">
        <v>45822</v>
      </c>
      <c r="F777" s="8" t="s">
        <v>567</v>
      </c>
      <c r="G777">
        <v>253</v>
      </c>
      <c r="H777" t="s">
        <v>8</v>
      </c>
    </row>
    <row r="778" spans="1:8" x14ac:dyDescent="0.3">
      <c r="A778">
        <v>830</v>
      </c>
      <c r="B778" t="s">
        <v>3</v>
      </c>
      <c r="C778">
        <v>0</v>
      </c>
      <c r="D778">
        <v>226.8</v>
      </c>
      <c r="E778" s="8">
        <v>45822</v>
      </c>
      <c r="F778" s="8" t="s">
        <v>567</v>
      </c>
      <c r="G778">
        <v>659</v>
      </c>
      <c r="H778" t="s">
        <v>12</v>
      </c>
    </row>
    <row r="779" spans="1:8" x14ac:dyDescent="0.3">
      <c r="A779">
        <v>832</v>
      </c>
      <c r="B779" t="s">
        <v>2</v>
      </c>
      <c r="C779">
        <v>0</v>
      </c>
      <c r="D779">
        <v>266.58</v>
      </c>
      <c r="E779" s="8">
        <v>45770</v>
      </c>
      <c r="F779" s="8" t="s">
        <v>566</v>
      </c>
      <c r="G779">
        <v>570</v>
      </c>
      <c r="H779" t="s">
        <v>11</v>
      </c>
    </row>
    <row r="780" spans="1:8" x14ac:dyDescent="0.3">
      <c r="A780">
        <v>833</v>
      </c>
      <c r="B780" t="s">
        <v>2</v>
      </c>
      <c r="C780">
        <v>0</v>
      </c>
      <c r="D780">
        <v>217.91</v>
      </c>
      <c r="E780" s="8">
        <v>45776</v>
      </c>
      <c r="F780" s="8" t="s">
        <v>566</v>
      </c>
      <c r="G780">
        <v>511</v>
      </c>
      <c r="H780" t="s">
        <v>8</v>
      </c>
    </row>
    <row r="781" spans="1:8" x14ac:dyDescent="0.3">
      <c r="A781">
        <v>834</v>
      </c>
      <c r="B781" t="s">
        <v>3</v>
      </c>
      <c r="C781">
        <v>0</v>
      </c>
      <c r="D781">
        <v>196.52</v>
      </c>
      <c r="E781" s="8">
        <v>45825</v>
      </c>
      <c r="F781" s="8" t="s">
        <v>567</v>
      </c>
      <c r="G781">
        <v>626</v>
      </c>
      <c r="H781" t="s">
        <v>9</v>
      </c>
    </row>
    <row r="782" spans="1:8" x14ac:dyDescent="0.3">
      <c r="A782">
        <v>837</v>
      </c>
      <c r="B782" t="s">
        <v>2</v>
      </c>
      <c r="C782">
        <v>0</v>
      </c>
      <c r="D782">
        <v>570.97</v>
      </c>
      <c r="E782" s="8">
        <v>45782</v>
      </c>
      <c r="F782" t="s">
        <v>568</v>
      </c>
      <c r="G782">
        <v>453</v>
      </c>
      <c r="H782" t="s">
        <v>8</v>
      </c>
    </row>
    <row r="783" spans="1:8" x14ac:dyDescent="0.3">
      <c r="A783">
        <v>838</v>
      </c>
      <c r="B783" t="s">
        <v>2</v>
      </c>
      <c r="C783">
        <v>0</v>
      </c>
      <c r="D783">
        <v>348.02</v>
      </c>
      <c r="E783" s="8">
        <v>45804</v>
      </c>
      <c r="F783" t="s">
        <v>568</v>
      </c>
      <c r="G783">
        <v>903</v>
      </c>
      <c r="H783" t="s">
        <v>11</v>
      </c>
    </row>
    <row r="784" spans="1:8" x14ac:dyDescent="0.3">
      <c r="A784">
        <v>839</v>
      </c>
      <c r="B784" t="s">
        <v>3</v>
      </c>
      <c r="C784">
        <v>0</v>
      </c>
      <c r="D784">
        <v>182.98</v>
      </c>
      <c r="E784" s="8">
        <v>45808</v>
      </c>
      <c r="F784" t="s">
        <v>568</v>
      </c>
      <c r="G784">
        <v>935</v>
      </c>
      <c r="H784" t="s">
        <v>9</v>
      </c>
    </row>
    <row r="785" spans="1:8" x14ac:dyDescent="0.3">
      <c r="A785">
        <v>84</v>
      </c>
      <c r="B785" t="s">
        <v>2</v>
      </c>
      <c r="C785">
        <v>0</v>
      </c>
      <c r="D785">
        <v>519.80999999999995</v>
      </c>
      <c r="E785" s="8">
        <v>45794</v>
      </c>
      <c r="F785" t="s">
        <v>568</v>
      </c>
      <c r="G785">
        <v>932</v>
      </c>
      <c r="H785" t="s">
        <v>8</v>
      </c>
    </row>
    <row r="786" spans="1:8" x14ac:dyDescent="0.3">
      <c r="A786">
        <v>842</v>
      </c>
      <c r="B786" t="s">
        <v>3</v>
      </c>
      <c r="C786">
        <v>0</v>
      </c>
      <c r="D786">
        <v>181.08</v>
      </c>
      <c r="E786" s="8">
        <v>45768</v>
      </c>
      <c r="F786" s="8" t="s">
        <v>566</v>
      </c>
      <c r="G786">
        <v>636</v>
      </c>
      <c r="H786" t="s">
        <v>11</v>
      </c>
    </row>
    <row r="787" spans="1:8" x14ac:dyDescent="0.3">
      <c r="A787">
        <v>843</v>
      </c>
      <c r="B787" t="s">
        <v>3</v>
      </c>
      <c r="C787">
        <v>0</v>
      </c>
      <c r="D787">
        <v>232.34</v>
      </c>
      <c r="E787" s="8">
        <v>45814</v>
      </c>
      <c r="F787" s="8" t="s">
        <v>567</v>
      </c>
      <c r="G787">
        <v>551</v>
      </c>
      <c r="H787" t="s">
        <v>8</v>
      </c>
    </row>
    <row r="788" spans="1:8" x14ac:dyDescent="0.3">
      <c r="A788">
        <v>844</v>
      </c>
      <c r="B788" t="s">
        <v>2</v>
      </c>
      <c r="C788">
        <v>0</v>
      </c>
      <c r="D788">
        <v>233.87</v>
      </c>
      <c r="E788" s="8">
        <v>45802</v>
      </c>
      <c r="F788" t="s">
        <v>568</v>
      </c>
      <c r="G788">
        <v>802</v>
      </c>
      <c r="H788" t="s">
        <v>11</v>
      </c>
    </row>
    <row r="789" spans="1:8" x14ac:dyDescent="0.3">
      <c r="A789">
        <v>845</v>
      </c>
      <c r="B789" t="s">
        <v>2</v>
      </c>
      <c r="C789">
        <v>0</v>
      </c>
      <c r="D789">
        <v>310.35000000000002</v>
      </c>
      <c r="E789" s="8">
        <v>45803</v>
      </c>
      <c r="F789" t="s">
        <v>568</v>
      </c>
      <c r="G789">
        <v>612</v>
      </c>
      <c r="H789" t="s">
        <v>9</v>
      </c>
    </row>
    <row r="790" spans="1:8" x14ac:dyDescent="0.3">
      <c r="A790">
        <v>846</v>
      </c>
      <c r="B790" t="s">
        <v>3</v>
      </c>
      <c r="C790">
        <v>0</v>
      </c>
      <c r="D790">
        <v>425.02</v>
      </c>
      <c r="E790" s="8">
        <v>45764</v>
      </c>
      <c r="F790" s="8" t="s">
        <v>566</v>
      </c>
      <c r="G790">
        <v>541</v>
      </c>
      <c r="H790" t="s">
        <v>8</v>
      </c>
    </row>
    <row r="791" spans="1:8" x14ac:dyDescent="0.3">
      <c r="A791">
        <v>848</v>
      </c>
      <c r="B791" t="s">
        <v>3</v>
      </c>
      <c r="C791">
        <v>0</v>
      </c>
      <c r="D791">
        <v>181.08</v>
      </c>
      <c r="E791" s="8">
        <v>45814</v>
      </c>
      <c r="F791" s="8" t="s">
        <v>567</v>
      </c>
      <c r="G791">
        <v>500</v>
      </c>
      <c r="H791" t="s">
        <v>7</v>
      </c>
    </row>
    <row r="792" spans="1:8" x14ac:dyDescent="0.3">
      <c r="A792">
        <v>849</v>
      </c>
      <c r="B792" t="s">
        <v>2</v>
      </c>
      <c r="C792">
        <v>1</v>
      </c>
      <c r="D792">
        <v>167.31</v>
      </c>
      <c r="E792" s="8">
        <v>45814</v>
      </c>
      <c r="F792" s="8" t="s">
        <v>567</v>
      </c>
      <c r="G792">
        <v>869</v>
      </c>
      <c r="H792" t="s">
        <v>10</v>
      </c>
    </row>
    <row r="793" spans="1:8" x14ac:dyDescent="0.3">
      <c r="A793">
        <v>85</v>
      </c>
      <c r="B793" t="s">
        <v>2</v>
      </c>
      <c r="C793">
        <v>0</v>
      </c>
      <c r="D793">
        <v>410.73</v>
      </c>
      <c r="E793" s="8">
        <v>45792</v>
      </c>
      <c r="F793" t="s">
        <v>568</v>
      </c>
      <c r="G793">
        <v>344</v>
      </c>
      <c r="H793" t="s">
        <v>10</v>
      </c>
    </row>
    <row r="794" spans="1:8" x14ac:dyDescent="0.3">
      <c r="A794">
        <v>850</v>
      </c>
      <c r="B794" t="s">
        <v>2</v>
      </c>
      <c r="C794">
        <v>0</v>
      </c>
      <c r="D794">
        <v>472.29</v>
      </c>
      <c r="E794" s="8">
        <v>45766</v>
      </c>
      <c r="F794" s="8" t="s">
        <v>566</v>
      </c>
      <c r="G794">
        <v>658</v>
      </c>
      <c r="H794" t="s">
        <v>9</v>
      </c>
    </row>
    <row r="795" spans="1:8" x14ac:dyDescent="0.3">
      <c r="A795">
        <v>852</v>
      </c>
      <c r="B795" t="s">
        <v>3</v>
      </c>
      <c r="C795">
        <v>0</v>
      </c>
      <c r="D795">
        <v>387.92</v>
      </c>
      <c r="E795" s="8">
        <v>45770</v>
      </c>
      <c r="F795" s="8" t="s">
        <v>566</v>
      </c>
      <c r="G795">
        <v>745</v>
      </c>
      <c r="H795" t="s">
        <v>9</v>
      </c>
    </row>
    <row r="796" spans="1:8" x14ac:dyDescent="0.3">
      <c r="A796">
        <v>853</v>
      </c>
      <c r="B796" t="s">
        <v>3</v>
      </c>
      <c r="C796">
        <v>0</v>
      </c>
      <c r="D796">
        <v>150.6</v>
      </c>
      <c r="E796" s="8">
        <v>45775</v>
      </c>
      <c r="F796" s="8" t="s">
        <v>566</v>
      </c>
      <c r="G796">
        <v>883</v>
      </c>
      <c r="H796" t="s">
        <v>9</v>
      </c>
    </row>
    <row r="797" spans="1:8" x14ac:dyDescent="0.3">
      <c r="A797">
        <v>854</v>
      </c>
      <c r="B797" t="s">
        <v>2</v>
      </c>
      <c r="C797">
        <v>0</v>
      </c>
      <c r="D797">
        <v>255.78</v>
      </c>
      <c r="E797" s="8">
        <v>45763</v>
      </c>
      <c r="F797" s="8" t="s">
        <v>566</v>
      </c>
      <c r="G797">
        <v>254</v>
      </c>
      <c r="H797" t="s">
        <v>9</v>
      </c>
    </row>
    <row r="798" spans="1:8" x14ac:dyDescent="0.3">
      <c r="A798">
        <v>855</v>
      </c>
      <c r="B798" t="s">
        <v>3</v>
      </c>
      <c r="C798">
        <v>0</v>
      </c>
      <c r="D798">
        <v>390.32</v>
      </c>
      <c r="E798" s="8">
        <v>45798</v>
      </c>
      <c r="F798" t="s">
        <v>568</v>
      </c>
      <c r="G798">
        <v>710</v>
      </c>
      <c r="H798" t="s">
        <v>8</v>
      </c>
    </row>
    <row r="799" spans="1:8" x14ac:dyDescent="0.3">
      <c r="A799">
        <v>856</v>
      </c>
      <c r="B799" t="s">
        <v>2</v>
      </c>
      <c r="C799">
        <v>0</v>
      </c>
      <c r="D799">
        <v>206.9</v>
      </c>
      <c r="E799" s="8">
        <v>45764</v>
      </c>
      <c r="F799" s="8" t="s">
        <v>566</v>
      </c>
      <c r="G799">
        <v>648</v>
      </c>
      <c r="H799" t="s">
        <v>7</v>
      </c>
    </row>
    <row r="800" spans="1:8" x14ac:dyDescent="0.3">
      <c r="A800">
        <v>857</v>
      </c>
      <c r="B800" t="s">
        <v>3</v>
      </c>
      <c r="C800">
        <v>0</v>
      </c>
      <c r="D800">
        <v>377.18</v>
      </c>
      <c r="E800" s="8">
        <v>45763</v>
      </c>
      <c r="F800" s="8" t="s">
        <v>566</v>
      </c>
      <c r="G800">
        <v>133</v>
      </c>
      <c r="H800" t="s">
        <v>8</v>
      </c>
    </row>
    <row r="801" spans="1:8" x14ac:dyDescent="0.3">
      <c r="A801">
        <v>858</v>
      </c>
      <c r="B801" t="s">
        <v>2</v>
      </c>
      <c r="C801">
        <v>0</v>
      </c>
      <c r="D801">
        <v>142.03</v>
      </c>
      <c r="E801" s="8">
        <v>45791</v>
      </c>
      <c r="F801" t="s">
        <v>568</v>
      </c>
      <c r="G801">
        <v>659</v>
      </c>
      <c r="H801" t="s">
        <v>12</v>
      </c>
    </row>
    <row r="802" spans="1:8" x14ac:dyDescent="0.3">
      <c r="A802">
        <v>859</v>
      </c>
      <c r="B802" t="s">
        <v>2</v>
      </c>
      <c r="C802">
        <v>0</v>
      </c>
      <c r="D802">
        <v>289.32</v>
      </c>
      <c r="E802" s="8">
        <v>45799</v>
      </c>
      <c r="F802" t="s">
        <v>568</v>
      </c>
      <c r="G802">
        <v>39</v>
      </c>
      <c r="H802" t="s">
        <v>8</v>
      </c>
    </row>
    <row r="803" spans="1:8" x14ac:dyDescent="0.3">
      <c r="A803">
        <v>86</v>
      </c>
      <c r="B803" t="s">
        <v>3</v>
      </c>
      <c r="C803">
        <v>0</v>
      </c>
      <c r="D803">
        <v>709.19</v>
      </c>
      <c r="E803" s="8">
        <v>45823</v>
      </c>
      <c r="F803" s="8" t="s">
        <v>567</v>
      </c>
      <c r="G803">
        <v>453</v>
      </c>
      <c r="H803" t="s">
        <v>8</v>
      </c>
    </row>
    <row r="804" spans="1:8" x14ac:dyDescent="0.3">
      <c r="A804">
        <v>861</v>
      </c>
      <c r="B804" t="s">
        <v>2</v>
      </c>
      <c r="C804">
        <v>0</v>
      </c>
      <c r="D804">
        <v>406.56</v>
      </c>
      <c r="E804" s="8">
        <v>45768</v>
      </c>
      <c r="F804" s="8" t="s">
        <v>566</v>
      </c>
      <c r="G804">
        <v>99</v>
      </c>
      <c r="H804" t="s">
        <v>11</v>
      </c>
    </row>
    <row r="805" spans="1:8" x14ac:dyDescent="0.3">
      <c r="A805">
        <v>862</v>
      </c>
      <c r="B805" t="s">
        <v>3</v>
      </c>
      <c r="C805">
        <v>0</v>
      </c>
      <c r="D805">
        <v>233.9</v>
      </c>
      <c r="E805" s="8">
        <v>45814</v>
      </c>
      <c r="F805" s="8" t="s">
        <v>567</v>
      </c>
      <c r="G805">
        <v>912</v>
      </c>
      <c r="H805" t="s">
        <v>7</v>
      </c>
    </row>
    <row r="806" spans="1:8" x14ac:dyDescent="0.3">
      <c r="A806">
        <v>863</v>
      </c>
      <c r="B806" t="s">
        <v>2</v>
      </c>
      <c r="C806">
        <v>0</v>
      </c>
      <c r="D806">
        <v>384.64</v>
      </c>
      <c r="E806" s="8">
        <v>45764</v>
      </c>
      <c r="F806" s="8" t="s">
        <v>566</v>
      </c>
      <c r="G806">
        <v>39</v>
      </c>
      <c r="H806" t="s">
        <v>8</v>
      </c>
    </row>
    <row r="807" spans="1:8" x14ac:dyDescent="0.3">
      <c r="A807">
        <v>864</v>
      </c>
      <c r="B807" t="s">
        <v>2</v>
      </c>
      <c r="C807">
        <v>1</v>
      </c>
      <c r="D807">
        <v>282.2</v>
      </c>
      <c r="E807" s="8">
        <v>45753</v>
      </c>
      <c r="F807" s="8" t="s">
        <v>566</v>
      </c>
      <c r="G807">
        <v>867</v>
      </c>
      <c r="H807" t="s">
        <v>8</v>
      </c>
    </row>
    <row r="808" spans="1:8" x14ac:dyDescent="0.3">
      <c r="A808">
        <v>865</v>
      </c>
      <c r="B808" t="s">
        <v>2</v>
      </c>
      <c r="C808">
        <v>0</v>
      </c>
      <c r="D808">
        <v>362.23</v>
      </c>
      <c r="E808" s="8">
        <v>45806</v>
      </c>
      <c r="F808" t="s">
        <v>568</v>
      </c>
      <c r="G808">
        <v>117</v>
      </c>
      <c r="H808" t="s">
        <v>7</v>
      </c>
    </row>
    <row r="809" spans="1:8" x14ac:dyDescent="0.3">
      <c r="A809">
        <v>866</v>
      </c>
      <c r="B809" t="s">
        <v>3</v>
      </c>
      <c r="C809">
        <v>0</v>
      </c>
      <c r="D809">
        <v>411.3</v>
      </c>
      <c r="E809" s="8">
        <v>45770</v>
      </c>
      <c r="F809" s="8" t="s">
        <v>566</v>
      </c>
      <c r="G809">
        <v>796</v>
      </c>
      <c r="H809" t="s">
        <v>10</v>
      </c>
    </row>
    <row r="810" spans="1:8" x14ac:dyDescent="0.3">
      <c r="A810">
        <v>868</v>
      </c>
      <c r="B810" t="s">
        <v>3</v>
      </c>
      <c r="C810">
        <v>0</v>
      </c>
      <c r="D810">
        <v>66.930000000000007</v>
      </c>
      <c r="E810" s="8">
        <v>45801</v>
      </c>
      <c r="F810" t="s">
        <v>568</v>
      </c>
      <c r="G810">
        <v>394</v>
      </c>
      <c r="H810" t="s">
        <v>11</v>
      </c>
    </row>
    <row r="811" spans="1:8" x14ac:dyDescent="0.3">
      <c r="A811">
        <v>87</v>
      </c>
      <c r="B811" t="s">
        <v>2</v>
      </c>
      <c r="C811">
        <v>0</v>
      </c>
      <c r="D811">
        <v>350.92</v>
      </c>
      <c r="E811" s="8">
        <v>45761</v>
      </c>
      <c r="F811" s="8" t="s">
        <v>566</v>
      </c>
      <c r="G811">
        <v>863</v>
      </c>
      <c r="H811" t="s">
        <v>7</v>
      </c>
    </row>
    <row r="812" spans="1:8" x14ac:dyDescent="0.3">
      <c r="A812">
        <v>870</v>
      </c>
      <c r="B812" t="s">
        <v>3</v>
      </c>
      <c r="C812">
        <v>0</v>
      </c>
      <c r="D812">
        <v>363.72</v>
      </c>
      <c r="E812" s="8">
        <v>45805</v>
      </c>
      <c r="F812" t="s">
        <v>568</v>
      </c>
      <c r="G812">
        <v>386</v>
      </c>
      <c r="H812" t="s">
        <v>8</v>
      </c>
    </row>
    <row r="813" spans="1:8" x14ac:dyDescent="0.3">
      <c r="A813">
        <v>871</v>
      </c>
      <c r="B813" t="s">
        <v>2</v>
      </c>
      <c r="C813">
        <v>0</v>
      </c>
      <c r="D813">
        <v>381.21</v>
      </c>
      <c r="E813" s="8">
        <v>45752</v>
      </c>
      <c r="F813" s="8" t="s">
        <v>566</v>
      </c>
      <c r="G813">
        <v>996</v>
      </c>
      <c r="H813" t="s">
        <v>7</v>
      </c>
    </row>
    <row r="814" spans="1:8" x14ac:dyDescent="0.3">
      <c r="A814">
        <v>872</v>
      </c>
      <c r="B814" t="s">
        <v>2</v>
      </c>
      <c r="C814">
        <v>1</v>
      </c>
      <c r="D814">
        <v>116.41</v>
      </c>
      <c r="E814" s="8">
        <v>45753</v>
      </c>
      <c r="F814" s="8" t="s">
        <v>566</v>
      </c>
      <c r="G814">
        <v>471</v>
      </c>
      <c r="H814" t="s">
        <v>10</v>
      </c>
    </row>
    <row r="815" spans="1:8" x14ac:dyDescent="0.3">
      <c r="A815">
        <v>873</v>
      </c>
      <c r="B815" t="s">
        <v>2</v>
      </c>
      <c r="C815">
        <v>0</v>
      </c>
      <c r="D815">
        <v>263.07</v>
      </c>
      <c r="E815" s="8">
        <v>45799</v>
      </c>
      <c r="F815" t="s">
        <v>568</v>
      </c>
      <c r="G815">
        <v>872</v>
      </c>
      <c r="H815" t="s">
        <v>10</v>
      </c>
    </row>
    <row r="816" spans="1:8" x14ac:dyDescent="0.3">
      <c r="A816">
        <v>874</v>
      </c>
      <c r="B816" t="s">
        <v>2</v>
      </c>
      <c r="C816">
        <v>0</v>
      </c>
      <c r="D816">
        <v>259.33</v>
      </c>
      <c r="E816" s="8">
        <v>45824</v>
      </c>
      <c r="F816" s="8" t="s">
        <v>567</v>
      </c>
      <c r="G816">
        <v>531</v>
      </c>
      <c r="H816" t="s">
        <v>11</v>
      </c>
    </row>
    <row r="817" spans="1:8" x14ac:dyDescent="0.3">
      <c r="A817">
        <v>875</v>
      </c>
      <c r="B817" t="s">
        <v>3</v>
      </c>
      <c r="C817">
        <v>1</v>
      </c>
      <c r="D817">
        <v>161.27000000000001</v>
      </c>
      <c r="E817" s="8">
        <v>45794</v>
      </c>
      <c r="F817" t="s">
        <v>568</v>
      </c>
      <c r="G817">
        <v>54</v>
      </c>
      <c r="H817" t="s">
        <v>9</v>
      </c>
    </row>
    <row r="818" spans="1:8" x14ac:dyDescent="0.3">
      <c r="A818">
        <v>876</v>
      </c>
      <c r="B818" t="s">
        <v>3</v>
      </c>
      <c r="C818">
        <v>0</v>
      </c>
      <c r="D818">
        <v>142.9</v>
      </c>
      <c r="E818" s="8">
        <v>45770</v>
      </c>
      <c r="F818" s="8" t="s">
        <v>566</v>
      </c>
      <c r="G818">
        <v>513</v>
      </c>
      <c r="H818" t="s">
        <v>8</v>
      </c>
    </row>
    <row r="819" spans="1:8" x14ac:dyDescent="0.3">
      <c r="A819">
        <v>878</v>
      </c>
      <c r="B819" t="s">
        <v>2</v>
      </c>
      <c r="C819">
        <v>0</v>
      </c>
      <c r="D819">
        <v>309.83</v>
      </c>
      <c r="E819" s="8">
        <v>45763</v>
      </c>
      <c r="F819" s="8" t="s">
        <v>566</v>
      </c>
      <c r="G819">
        <v>800</v>
      </c>
      <c r="H819" t="s">
        <v>10</v>
      </c>
    </row>
    <row r="820" spans="1:8" x14ac:dyDescent="0.3">
      <c r="A820">
        <v>879</v>
      </c>
      <c r="B820" t="s">
        <v>2</v>
      </c>
      <c r="C820">
        <v>0</v>
      </c>
      <c r="D820">
        <v>206.99</v>
      </c>
      <c r="E820" s="8">
        <v>45774</v>
      </c>
      <c r="F820" s="8" t="s">
        <v>566</v>
      </c>
      <c r="G820">
        <v>387</v>
      </c>
      <c r="H820" t="s">
        <v>8</v>
      </c>
    </row>
    <row r="821" spans="1:8" x14ac:dyDescent="0.3">
      <c r="A821">
        <v>88</v>
      </c>
      <c r="B821" t="s">
        <v>3</v>
      </c>
      <c r="C821">
        <v>0</v>
      </c>
      <c r="D821">
        <v>577.9</v>
      </c>
      <c r="E821" s="8">
        <v>45760</v>
      </c>
      <c r="F821" s="8" t="s">
        <v>566</v>
      </c>
      <c r="G821">
        <v>569</v>
      </c>
      <c r="H821" t="s">
        <v>8</v>
      </c>
    </row>
    <row r="822" spans="1:8" x14ac:dyDescent="0.3">
      <c r="A822">
        <v>880</v>
      </c>
      <c r="B822" t="s">
        <v>3</v>
      </c>
      <c r="C822">
        <v>0</v>
      </c>
      <c r="D822">
        <v>242.44</v>
      </c>
      <c r="E822" s="8">
        <v>45766</v>
      </c>
      <c r="F822" s="8" t="s">
        <v>566</v>
      </c>
      <c r="G822">
        <v>380</v>
      </c>
      <c r="H822" t="s">
        <v>9</v>
      </c>
    </row>
    <row r="823" spans="1:8" x14ac:dyDescent="0.3">
      <c r="A823">
        <v>882</v>
      </c>
      <c r="B823" t="s">
        <v>3</v>
      </c>
      <c r="C823">
        <v>0</v>
      </c>
      <c r="D823">
        <v>88.11</v>
      </c>
      <c r="E823" s="8">
        <v>45823</v>
      </c>
      <c r="F823" s="8" t="s">
        <v>567</v>
      </c>
      <c r="G823">
        <v>634</v>
      </c>
      <c r="H823" t="s">
        <v>12</v>
      </c>
    </row>
    <row r="824" spans="1:8" x14ac:dyDescent="0.3">
      <c r="A824">
        <v>883</v>
      </c>
      <c r="B824" t="s">
        <v>3</v>
      </c>
      <c r="C824">
        <v>0</v>
      </c>
      <c r="D824">
        <v>422.95</v>
      </c>
      <c r="E824" s="8">
        <v>45798</v>
      </c>
      <c r="F824" t="s">
        <v>568</v>
      </c>
      <c r="G824">
        <v>659</v>
      </c>
      <c r="H824" t="s">
        <v>12</v>
      </c>
    </row>
    <row r="825" spans="1:8" x14ac:dyDescent="0.3">
      <c r="A825">
        <v>884</v>
      </c>
      <c r="B825" t="s">
        <v>3</v>
      </c>
      <c r="C825">
        <v>0</v>
      </c>
      <c r="D825">
        <v>402.96</v>
      </c>
      <c r="E825" s="8">
        <v>45812</v>
      </c>
      <c r="F825" s="8" t="s">
        <v>567</v>
      </c>
      <c r="G825">
        <v>609</v>
      </c>
      <c r="H825" t="s">
        <v>9</v>
      </c>
    </row>
    <row r="826" spans="1:8" x14ac:dyDescent="0.3">
      <c r="A826">
        <v>885</v>
      </c>
      <c r="B826" t="s">
        <v>3</v>
      </c>
      <c r="C826">
        <v>0</v>
      </c>
      <c r="D826">
        <v>273.51</v>
      </c>
      <c r="E826" s="8">
        <v>45769</v>
      </c>
      <c r="F826" s="8" t="s">
        <v>566</v>
      </c>
      <c r="G826">
        <v>922</v>
      </c>
      <c r="H826" t="s">
        <v>11</v>
      </c>
    </row>
    <row r="827" spans="1:8" x14ac:dyDescent="0.3">
      <c r="A827">
        <v>886</v>
      </c>
      <c r="B827" t="s">
        <v>2</v>
      </c>
      <c r="C827">
        <v>0</v>
      </c>
      <c r="D827">
        <v>240.1</v>
      </c>
      <c r="E827" s="8">
        <v>45802</v>
      </c>
      <c r="F827" t="s">
        <v>568</v>
      </c>
      <c r="G827">
        <v>53</v>
      </c>
      <c r="H827" t="s">
        <v>9</v>
      </c>
    </row>
    <row r="828" spans="1:8" x14ac:dyDescent="0.3">
      <c r="A828">
        <v>89</v>
      </c>
      <c r="B828" t="s">
        <v>2</v>
      </c>
      <c r="C828">
        <v>0</v>
      </c>
      <c r="D828">
        <v>312.2</v>
      </c>
      <c r="E828" s="8">
        <v>45772</v>
      </c>
      <c r="F828" s="8" t="s">
        <v>566</v>
      </c>
      <c r="G828">
        <v>46</v>
      </c>
      <c r="H828" t="s">
        <v>7</v>
      </c>
    </row>
    <row r="829" spans="1:8" x14ac:dyDescent="0.3">
      <c r="A829">
        <v>890</v>
      </c>
      <c r="B829" t="s">
        <v>2</v>
      </c>
      <c r="C829">
        <v>0</v>
      </c>
      <c r="D829">
        <v>323.23</v>
      </c>
      <c r="E829" s="8">
        <v>45765</v>
      </c>
      <c r="F829" s="8" t="s">
        <v>566</v>
      </c>
      <c r="G829">
        <v>625</v>
      </c>
      <c r="H829" t="s">
        <v>12</v>
      </c>
    </row>
    <row r="830" spans="1:8" x14ac:dyDescent="0.3">
      <c r="A830">
        <v>895</v>
      </c>
      <c r="B830" t="s">
        <v>3</v>
      </c>
      <c r="C830">
        <v>0</v>
      </c>
      <c r="D830">
        <v>61.09</v>
      </c>
      <c r="E830" s="8">
        <v>45808</v>
      </c>
      <c r="F830" t="s">
        <v>568</v>
      </c>
      <c r="G830">
        <v>711</v>
      </c>
      <c r="H830" t="s">
        <v>8</v>
      </c>
    </row>
    <row r="831" spans="1:8" x14ac:dyDescent="0.3">
      <c r="A831">
        <v>896</v>
      </c>
      <c r="B831" t="s">
        <v>3</v>
      </c>
      <c r="C831">
        <v>1</v>
      </c>
      <c r="D831">
        <v>182.89</v>
      </c>
      <c r="E831" s="8">
        <v>45793</v>
      </c>
      <c r="F831" t="s">
        <v>568</v>
      </c>
      <c r="G831">
        <v>9</v>
      </c>
      <c r="H831" t="s">
        <v>11</v>
      </c>
    </row>
    <row r="832" spans="1:8" x14ac:dyDescent="0.3">
      <c r="A832">
        <v>899</v>
      </c>
      <c r="B832" t="s">
        <v>3</v>
      </c>
      <c r="C832">
        <v>0</v>
      </c>
      <c r="D832">
        <v>291.04000000000002</v>
      </c>
      <c r="E832" s="8">
        <v>45801</v>
      </c>
      <c r="F832" t="s">
        <v>568</v>
      </c>
      <c r="G832">
        <v>339</v>
      </c>
      <c r="H832" t="s">
        <v>8</v>
      </c>
    </row>
    <row r="833" spans="1:8" x14ac:dyDescent="0.3">
      <c r="A833">
        <v>90</v>
      </c>
      <c r="B833" t="s">
        <v>2</v>
      </c>
      <c r="C833">
        <v>0</v>
      </c>
      <c r="D833">
        <v>377.12</v>
      </c>
      <c r="E833" s="8">
        <v>45803</v>
      </c>
      <c r="F833" t="s">
        <v>568</v>
      </c>
      <c r="G833">
        <v>2</v>
      </c>
      <c r="H833" t="s">
        <v>8</v>
      </c>
    </row>
    <row r="834" spans="1:8" x14ac:dyDescent="0.3">
      <c r="A834">
        <v>902</v>
      </c>
      <c r="B834" t="s">
        <v>3</v>
      </c>
      <c r="C834">
        <v>0</v>
      </c>
      <c r="D834">
        <v>305.5</v>
      </c>
      <c r="E834" s="8">
        <v>45806</v>
      </c>
      <c r="F834" t="s">
        <v>568</v>
      </c>
      <c r="G834">
        <v>656</v>
      </c>
      <c r="H834" t="s">
        <v>7</v>
      </c>
    </row>
    <row r="835" spans="1:8" x14ac:dyDescent="0.3">
      <c r="A835">
        <v>903</v>
      </c>
      <c r="B835" t="s">
        <v>3</v>
      </c>
      <c r="C835">
        <v>0</v>
      </c>
      <c r="D835">
        <v>446.43</v>
      </c>
      <c r="E835" s="8">
        <v>45766</v>
      </c>
      <c r="F835" s="8" t="s">
        <v>566</v>
      </c>
      <c r="G835">
        <v>727</v>
      </c>
      <c r="H835" t="s">
        <v>12</v>
      </c>
    </row>
    <row r="836" spans="1:8" x14ac:dyDescent="0.3">
      <c r="A836">
        <v>904</v>
      </c>
      <c r="B836" t="s">
        <v>2</v>
      </c>
      <c r="C836">
        <v>0</v>
      </c>
      <c r="D836">
        <v>222.07</v>
      </c>
      <c r="E836" s="8">
        <v>45782</v>
      </c>
      <c r="F836" t="s">
        <v>568</v>
      </c>
      <c r="G836">
        <v>699</v>
      </c>
      <c r="H836" t="s">
        <v>10</v>
      </c>
    </row>
    <row r="837" spans="1:8" x14ac:dyDescent="0.3">
      <c r="A837">
        <v>905</v>
      </c>
      <c r="B837" t="s">
        <v>3</v>
      </c>
      <c r="C837">
        <v>0</v>
      </c>
      <c r="D837">
        <v>133.9</v>
      </c>
      <c r="E837" s="8">
        <v>45807</v>
      </c>
      <c r="F837" t="s">
        <v>568</v>
      </c>
      <c r="G837">
        <v>422</v>
      </c>
      <c r="H837" t="s">
        <v>10</v>
      </c>
    </row>
    <row r="838" spans="1:8" x14ac:dyDescent="0.3">
      <c r="A838">
        <v>906</v>
      </c>
      <c r="B838" t="s">
        <v>2</v>
      </c>
      <c r="C838">
        <v>0</v>
      </c>
      <c r="D838">
        <v>297.44</v>
      </c>
      <c r="E838" s="8">
        <v>45775</v>
      </c>
      <c r="F838" s="8" t="s">
        <v>566</v>
      </c>
      <c r="G838">
        <v>664</v>
      </c>
      <c r="H838" t="s">
        <v>8</v>
      </c>
    </row>
    <row r="839" spans="1:8" x14ac:dyDescent="0.3">
      <c r="A839">
        <v>907</v>
      </c>
      <c r="B839" t="s">
        <v>2</v>
      </c>
      <c r="C839">
        <v>0</v>
      </c>
      <c r="D839">
        <v>247.13</v>
      </c>
      <c r="E839" s="8">
        <v>45765</v>
      </c>
      <c r="F839" s="8" t="s">
        <v>566</v>
      </c>
      <c r="G839">
        <v>113</v>
      </c>
      <c r="H839" t="s">
        <v>7</v>
      </c>
    </row>
    <row r="840" spans="1:8" x14ac:dyDescent="0.3">
      <c r="A840">
        <v>908</v>
      </c>
      <c r="B840" t="s">
        <v>3</v>
      </c>
      <c r="C840">
        <v>0</v>
      </c>
      <c r="D840">
        <v>224.36</v>
      </c>
      <c r="E840" s="8">
        <v>45773</v>
      </c>
      <c r="F840" s="8" t="s">
        <v>566</v>
      </c>
      <c r="G840">
        <v>196</v>
      </c>
      <c r="H840" t="s">
        <v>9</v>
      </c>
    </row>
    <row r="841" spans="1:8" x14ac:dyDescent="0.3">
      <c r="A841">
        <v>909</v>
      </c>
      <c r="B841" t="s">
        <v>3</v>
      </c>
      <c r="C841">
        <v>0</v>
      </c>
      <c r="D841">
        <v>461.34</v>
      </c>
      <c r="E841" s="8">
        <v>45769</v>
      </c>
      <c r="F841" s="8" t="s">
        <v>566</v>
      </c>
      <c r="G841">
        <v>739</v>
      </c>
      <c r="H841" t="s">
        <v>12</v>
      </c>
    </row>
    <row r="842" spans="1:8" x14ac:dyDescent="0.3">
      <c r="A842">
        <v>912</v>
      </c>
      <c r="B842" t="s">
        <v>2</v>
      </c>
      <c r="C842">
        <v>1</v>
      </c>
      <c r="D842">
        <v>113.2</v>
      </c>
      <c r="E842" s="8">
        <v>45753</v>
      </c>
      <c r="F842" s="8" t="s">
        <v>566</v>
      </c>
      <c r="G842">
        <v>39</v>
      </c>
      <c r="H842" t="s">
        <v>8</v>
      </c>
    </row>
    <row r="843" spans="1:8" x14ac:dyDescent="0.3">
      <c r="A843">
        <v>913</v>
      </c>
      <c r="B843" t="s">
        <v>3</v>
      </c>
      <c r="C843">
        <v>0</v>
      </c>
      <c r="D843">
        <v>303.24</v>
      </c>
      <c r="E843" s="8">
        <v>45804</v>
      </c>
      <c r="F843" t="s">
        <v>568</v>
      </c>
      <c r="G843">
        <v>729</v>
      </c>
      <c r="H843" t="s">
        <v>12</v>
      </c>
    </row>
    <row r="844" spans="1:8" x14ac:dyDescent="0.3">
      <c r="A844">
        <v>914</v>
      </c>
      <c r="B844" t="s">
        <v>3</v>
      </c>
      <c r="C844">
        <v>0</v>
      </c>
      <c r="D844">
        <v>461.95</v>
      </c>
      <c r="E844" s="8">
        <v>45802</v>
      </c>
      <c r="F844" t="s">
        <v>568</v>
      </c>
      <c r="G844">
        <v>684</v>
      </c>
      <c r="H844" t="s">
        <v>10</v>
      </c>
    </row>
    <row r="845" spans="1:8" x14ac:dyDescent="0.3">
      <c r="A845">
        <v>915</v>
      </c>
      <c r="B845" t="s">
        <v>2</v>
      </c>
      <c r="C845">
        <v>0</v>
      </c>
      <c r="D845">
        <v>241.74</v>
      </c>
      <c r="E845" s="8">
        <v>45767</v>
      </c>
      <c r="F845" s="8" t="s">
        <v>566</v>
      </c>
      <c r="G845">
        <v>672</v>
      </c>
      <c r="H845" t="s">
        <v>7</v>
      </c>
    </row>
    <row r="846" spans="1:8" x14ac:dyDescent="0.3">
      <c r="A846">
        <v>916</v>
      </c>
      <c r="B846" t="s">
        <v>3</v>
      </c>
      <c r="C846">
        <v>1</v>
      </c>
      <c r="D846">
        <v>245.94</v>
      </c>
      <c r="E846" s="8">
        <v>45795</v>
      </c>
      <c r="F846" t="s">
        <v>568</v>
      </c>
      <c r="G846">
        <v>342</v>
      </c>
      <c r="H846" t="s">
        <v>10</v>
      </c>
    </row>
    <row r="847" spans="1:8" x14ac:dyDescent="0.3">
      <c r="A847">
        <v>918</v>
      </c>
      <c r="B847" t="s">
        <v>2</v>
      </c>
      <c r="C847">
        <v>0</v>
      </c>
      <c r="D847">
        <v>256.76</v>
      </c>
      <c r="E847" s="8">
        <v>45762</v>
      </c>
      <c r="F847" s="8" t="s">
        <v>566</v>
      </c>
      <c r="G847">
        <v>226</v>
      </c>
      <c r="H847" t="s">
        <v>10</v>
      </c>
    </row>
    <row r="848" spans="1:8" x14ac:dyDescent="0.3">
      <c r="A848">
        <v>92</v>
      </c>
      <c r="B848" t="s">
        <v>3</v>
      </c>
      <c r="C848">
        <v>0</v>
      </c>
      <c r="D848">
        <v>611.46</v>
      </c>
      <c r="E848" s="8">
        <v>45807</v>
      </c>
      <c r="F848" t="s">
        <v>568</v>
      </c>
      <c r="G848">
        <v>691</v>
      </c>
      <c r="H848" t="s">
        <v>9</v>
      </c>
    </row>
    <row r="849" spans="1:8" x14ac:dyDescent="0.3">
      <c r="A849">
        <v>921</v>
      </c>
      <c r="B849" t="s">
        <v>3</v>
      </c>
      <c r="C849">
        <v>1</v>
      </c>
      <c r="D849">
        <v>117.84</v>
      </c>
      <c r="E849" s="8">
        <v>45796</v>
      </c>
      <c r="F849" t="s">
        <v>568</v>
      </c>
      <c r="G849">
        <v>283</v>
      </c>
      <c r="H849" t="s">
        <v>8</v>
      </c>
    </row>
    <row r="850" spans="1:8" x14ac:dyDescent="0.3">
      <c r="A850">
        <v>922</v>
      </c>
      <c r="B850" t="s">
        <v>2</v>
      </c>
      <c r="C850">
        <v>0</v>
      </c>
      <c r="D850">
        <v>342.07</v>
      </c>
      <c r="E850" s="8">
        <v>45800</v>
      </c>
      <c r="F850" t="s">
        <v>568</v>
      </c>
      <c r="G850">
        <v>246</v>
      </c>
      <c r="H850" t="s">
        <v>11</v>
      </c>
    </row>
    <row r="851" spans="1:8" x14ac:dyDescent="0.3">
      <c r="A851">
        <v>924</v>
      </c>
      <c r="B851" t="s">
        <v>2</v>
      </c>
      <c r="C851">
        <v>0</v>
      </c>
      <c r="D851">
        <v>430.55</v>
      </c>
      <c r="E851" s="8">
        <v>45781</v>
      </c>
      <c r="F851" t="s">
        <v>568</v>
      </c>
      <c r="G851">
        <v>74</v>
      </c>
      <c r="H851" t="s">
        <v>8</v>
      </c>
    </row>
    <row r="852" spans="1:8" x14ac:dyDescent="0.3">
      <c r="A852">
        <v>925</v>
      </c>
      <c r="B852" t="s">
        <v>2</v>
      </c>
      <c r="C852">
        <v>0</v>
      </c>
      <c r="D852">
        <v>343.79</v>
      </c>
      <c r="E852" s="8">
        <v>45771</v>
      </c>
      <c r="F852" s="8" t="s">
        <v>566</v>
      </c>
      <c r="G852">
        <v>692</v>
      </c>
      <c r="H852" t="s">
        <v>8</v>
      </c>
    </row>
    <row r="853" spans="1:8" x14ac:dyDescent="0.3">
      <c r="A853">
        <v>926</v>
      </c>
      <c r="B853" t="s">
        <v>2</v>
      </c>
      <c r="C853">
        <v>0</v>
      </c>
      <c r="D853">
        <v>110.78</v>
      </c>
      <c r="E853" s="8">
        <v>45806</v>
      </c>
      <c r="F853" t="s">
        <v>568</v>
      </c>
      <c r="G853">
        <v>393</v>
      </c>
      <c r="H853" t="s">
        <v>8</v>
      </c>
    </row>
    <row r="854" spans="1:8" x14ac:dyDescent="0.3">
      <c r="A854">
        <v>927</v>
      </c>
      <c r="B854" t="s">
        <v>3</v>
      </c>
      <c r="C854">
        <v>0</v>
      </c>
      <c r="D854">
        <v>371.36</v>
      </c>
      <c r="E854" s="8">
        <v>45823</v>
      </c>
      <c r="F854" s="8" t="s">
        <v>567</v>
      </c>
      <c r="G854">
        <v>233</v>
      </c>
      <c r="H854" t="s">
        <v>8</v>
      </c>
    </row>
    <row r="855" spans="1:8" x14ac:dyDescent="0.3">
      <c r="A855">
        <v>931</v>
      </c>
      <c r="B855" t="s">
        <v>2</v>
      </c>
      <c r="C855">
        <v>0</v>
      </c>
      <c r="D855">
        <v>270.18</v>
      </c>
      <c r="E855" s="8">
        <v>45825</v>
      </c>
      <c r="F855" s="8" t="s">
        <v>567</v>
      </c>
      <c r="G855">
        <v>269</v>
      </c>
      <c r="H855" t="s">
        <v>11</v>
      </c>
    </row>
    <row r="856" spans="1:8" x14ac:dyDescent="0.3">
      <c r="A856">
        <v>932</v>
      </c>
      <c r="B856" t="s">
        <v>3</v>
      </c>
      <c r="C856">
        <v>0</v>
      </c>
      <c r="D856">
        <v>317.29000000000002</v>
      </c>
      <c r="E856" s="8">
        <v>45822</v>
      </c>
      <c r="F856" s="8" t="s">
        <v>567</v>
      </c>
      <c r="G856">
        <v>323</v>
      </c>
      <c r="H856" t="s">
        <v>10</v>
      </c>
    </row>
    <row r="857" spans="1:8" x14ac:dyDescent="0.3">
      <c r="A857">
        <v>934</v>
      </c>
      <c r="B857" t="s">
        <v>2</v>
      </c>
      <c r="C857">
        <v>0</v>
      </c>
      <c r="D857">
        <v>146.03</v>
      </c>
      <c r="E857" s="8">
        <v>45793</v>
      </c>
      <c r="F857" t="s">
        <v>568</v>
      </c>
      <c r="G857">
        <v>506</v>
      </c>
      <c r="H857" t="s">
        <v>8</v>
      </c>
    </row>
    <row r="858" spans="1:8" x14ac:dyDescent="0.3">
      <c r="A858">
        <v>937</v>
      </c>
      <c r="B858" t="s">
        <v>3</v>
      </c>
      <c r="C858">
        <v>0</v>
      </c>
      <c r="D858">
        <v>293.27999999999997</v>
      </c>
      <c r="E858" s="8">
        <v>45824</v>
      </c>
      <c r="F858" s="8" t="s">
        <v>567</v>
      </c>
      <c r="G858">
        <v>649</v>
      </c>
      <c r="H858" t="s">
        <v>9</v>
      </c>
    </row>
    <row r="859" spans="1:8" x14ac:dyDescent="0.3">
      <c r="A859">
        <v>938</v>
      </c>
      <c r="B859" t="s">
        <v>2</v>
      </c>
      <c r="C859">
        <v>0</v>
      </c>
      <c r="D859">
        <v>360.58</v>
      </c>
      <c r="E859" s="8">
        <v>45796</v>
      </c>
      <c r="F859" t="s">
        <v>568</v>
      </c>
      <c r="G859">
        <v>42</v>
      </c>
      <c r="H859" t="s">
        <v>11</v>
      </c>
    </row>
    <row r="860" spans="1:8" x14ac:dyDescent="0.3">
      <c r="A860">
        <v>94</v>
      </c>
      <c r="B860" t="s">
        <v>2</v>
      </c>
      <c r="C860">
        <v>0</v>
      </c>
      <c r="D860">
        <v>396.88</v>
      </c>
      <c r="E860" s="8">
        <v>45760</v>
      </c>
      <c r="F860" s="8" t="s">
        <v>566</v>
      </c>
      <c r="G860">
        <v>165</v>
      </c>
      <c r="H860" t="s">
        <v>8</v>
      </c>
    </row>
    <row r="861" spans="1:8" x14ac:dyDescent="0.3">
      <c r="A861">
        <v>940</v>
      </c>
      <c r="B861" t="s">
        <v>3</v>
      </c>
      <c r="C861">
        <v>0</v>
      </c>
      <c r="D861">
        <v>268.77</v>
      </c>
      <c r="E861" s="8">
        <v>45768</v>
      </c>
      <c r="F861" s="8" t="s">
        <v>566</v>
      </c>
      <c r="G861">
        <v>988</v>
      </c>
      <c r="H861" t="s">
        <v>12</v>
      </c>
    </row>
    <row r="862" spans="1:8" x14ac:dyDescent="0.3">
      <c r="A862">
        <v>942</v>
      </c>
      <c r="B862" t="s">
        <v>2</v>
      </c>
      <c r="C862">
        <v>0</v>
      </c>
      <c r="D862">
        <v>376.17</v>
      </c>
      <c r="E862" s="8">
        <v>45776</v>
      </c>
      <c r="F862" s="8" t="s">
        <v>566</v>
      </c>
      <c r="G862">
        <v>75</v>
      </c>
      <c r="H862" t="s">
        <v>9</v>
      </c>
    </row>
    <row r="863" spans="1:8" x14ac:dyDescent="0.3">
      <c r="A863">
        <v>943</v>
      </c>
      <c r="B863" t="s">
        <v>3</v>
      </c>
      <c r="C863">
        <v>1</v>
      </c>
      <c r="D863">
        <v>210.59</v>
      </c>
      <c r="E863" s="8">
        <v>45793</v>
      </c>
      <c r="F863" t="s">
        <v>568</v>
      </c>
      <c r="G863">
        <v>230</v>
      </c>
      <c r="H863" t="s">
        <v>8</v>
      </c>
    </row>
    <row r="864" spans="1:8" x14ac:dyDescent="0.3">
      <c r="A864">
        <v>944</v>
      </c>
      <c r="B864" t="s">
        <v>2</v>
      </c>
      <c r="C864">
        <v>0</v>
      </c>
      <c r="D864">
        <v>246.83</v>
      </c>
      <c r="E864" s="8">
        <v>45822</v>
      </c>
      <c r="F864" s="8" t="s">
        <v>567</v>
      </c>
      <c r="G864">
        <v>173</v>
      </c>
      <c r="H864" t="s">
        <v>7</v>
      </c>
    </row>
    <row r="865" spans="1:8" x14ac:dyDescent="0.3">
      <c r="A865">
        <v>945</v>
      </c>
      <c r="B865" t="s">
        <v>2</v>
      </c>
      <c r="C865">
        <v>0</v>
      </c>
      <c r="D865">
        <v>295.02</v>
      </c>
      <c r="E865" s="8">
        <v>45764</v>
      </c>
      <c r="F865" s="8" t="s">
        <v>566</v>
      </c>
      <c r="G865">
        <v>304</v>
      </c>
      <c r="H865" t="s">
        <v>8</v>
      </c>
    </row>
    <row r="866" spans="1:8" x14ac:dyDescent="0.3">
      <c r="A866">
        <v>946</v>
      </c>
      <c r="B866" t="s">
        <v>3</v>
      </c>
      <c r="C866">
        <v>0</v>
      </c>
      <c r="D866">
        <v>192.66</v>
      </c>
      <c r="E866" s="8">
        <v>45763</v>
      </c>
      <c r="F866" s="8" t="s">
        <v>566</v>
      </c>
      <c r="G866">
        <v>289</v>
      </c>
      <c r="H866" t="s">
        <v>10</v>
      </c>
    </row>
    <row r="867" spans="1:8" x14ac:dyDescent="0.3">
      <c r="A867">
        <v>947</v>
      </c>
      <c r="B867" t="s">
        <v>2</v>
      </c>
      <c r="C867">
        <v>0</v>
      </c>
      <c r="D867">
        <v>97.73</v>
      </c>
      <c r="E867" s="8">
        <v>45824</v>
      </c>
      <c r="F867" s="8" t="s">
        <v>567</v>
      </c>
      <c r="G867">
        <v>127</v>
      </c>
      <c r="H867" t="s">
        <v>10</v>
      </c>
    </row>
    <row r="868" spans="1:8" x14ac:dyDescent="0.3">
      <c r="A868">
        <v>949</v>
      </c>
      <c r="B868" t="s">
        <v>2</v>
      </c>
      <c r="C868">
        <v>0</v>
      </c>
      <c r="D868">
        <v>87.45</v>
      </c>
      <c r="E868" s="8">
        <v>45807</v>
      </c>
      <c r="F868" t="s">
        <v>568</v>
      </c>
      <c r="G868">
        <v>91</v>
      </c>
      <c r="H868" t="s">
        <v>10</v>
      </c>
    </row>
    <row r="869" spans="1:8" x14ac:dyDescent="0.3">
      <c r="A869">
        <v>950</v>
      </c>
      <c r="B869" t="s">
        <v>2</v>
      </c>
      <c r="C869">
        <v>0</v>
      </c>
      <c r="D869">
        <v>524.09</v>
      </c>
      <c r="E869" s="8">
        <v>45804</v>
      </c>
      <c r="F869" t="s">
        <v>568</v>
      </c>
      <c r="G869">
        <v>935</v>
      </c>
      <c r="H869" t="s">
        <v>9</v>
      </c>
    </row>
    <row r="870" spans="1:8" x14ac:dyDescent="0.3">
      <c r="A870">
        <v>952</v>
      </c>
      <c r="B870" t="s">
        <v>2</v>
      </c>
      <c r="C870">
        <v>0</v>
      </c>
      <c r="D870">
        <v>258.61</v>
      </c>
      <c r="E870" s="8">
        <v>45772</v>
      </c>
      <c r="F870" s="8" t="s">
        <v>566</v>
      </c>
      <c r="G870">
        <v>252</v>
      </c>
      <c r="H870" t="s">
        <v>9</v>
      </c>
    </row>
    <row r="871" spans="1:8" x14ac:dyDescent="0.3">
      <c r="A871">
        <v>953</v>
      </c>
      <c r="B871" t="s">
        <v>3</v>
      </c>
      <c r="C871">
        <v>0</v>
      </c>
      <c r="D871">
        <v>532.29999999999995</v>
      </c>
      <c r="E871" s="8">
        <v>45763</v>
      </c>
      <c r="F871" s="8" t="s">
        <v>566</v>
      </c>
      <c r="G871">
        <v>400</v>
      </c>
      <c r="H871" t="s">
        <v>10</v>
      </c>
    </row>
    <row r="872" spans="1:8" x14ac:dyDescent="0.3">
      <c r="A872">
        <v>955</v>
      </c>
      <c r="B872" t="s">
        <v>3</v>
      </c>
      <c r="C872">
        <v>0</v>
      </c>
      <c r="D872">
        <v>490.7</v>
      </c>
      <c r="E872" s="8">
        <v>45802</v>
      </c>
      <c r="F872" t="s">
        <v>568</v>
      </c>
      <c r="G872">
        <v>936</v>
      </c>
      <c r="H872" t="s">
        <v>10</v>
      </c>
    </row>
    <row r="873" spans="1:8" x14ac:dyDescent="0.3">
      <c r="A873">
        <v>956</v>
      </c>
      <c r="B873" t="s">
        <v>3</v>
      </c>
      <c r="C873">
        <v>0</v>
      </c>
      <c r="D873">
        <v>166.11</v>
      </c>
      <c r="E873" s="8">
        <v>45808</v>
      </c>
      <c r="F873" t="s">
        <v>568</v>
      </c>
      <c r="G873">
        <v>456</v>
      </c>
      <c r="H873" t="s">
        <v>9</v>
      </c>
    </row>
    <row r="874" spans="1:8" x14ac:dyDescent="0.3">
      <c r="A874">
        <v>957</v>
      </c>
      <c r="B874" t="s">
        <v>3</v>
      </c>
      <c r="C874">
        <v>1</v>
      </c>
      <c r="D874">
        <v>212.16</v>
      </c>
      <c r="E874" s="8">
        <v>45792</v>
      </c>
      <c r="F874" t="s">
        <v>568</v>
      </c>
      <c r="G874">
        <v>181</v>
      </c>
      <c r="H874" t="s">
        <v>9</v>
      </c>
    </row>
    <row r="875" spans="1:8" x14ac:dyDescent="0.3">
      <c r="A875">
        <v>958</v>
      </c>
      <c r="B875" t="s">
        <v>2</v>
      </c>
      <c r="C875">
        <v>0</v>
      </c>
      <c r="D875">
        <v>68.31</v>
      </c>
      <c r="E875" s="8">
        <v>45799</v>
      </c>
      <c r="F875" t="s">
        <v>568</v>
      </c>
      <c r="G875">
        <v>958</v>
      </c>
      <c r="H875" t="s">
        <v>7</v>
      </c>
    </row>
    <row r="876" spans="1:8" x14ac:dyDescent="0.3">
      <c r="A876">
        <v>959</v>
      </c>
      <c r="B876" t="s">
        <v>2</v>
      </c>
      <c r="C876">
        <v>0</v>
      </c>
      <c r="D876">
        <v>167.82</v>
      </c>
      <c r="E876" s="8">
        <v>45781</v>
      </c>
      <c r="F876" t="s">
        <v>568</v>
      </c>
      <c r="G876">
        <v>959</v>
      </c>
      <c r="H876" t="s">
        <v>11</v>
      </c>
    </row>
    <row r="877" spans="1:8" x14ac:dyDescent="0.3">
      <c r="A877">
        <v>96</v>
      </c>
      <c r="B877" t="s">
        <v>2</v>
      </c>
      <c r="C877">
        <v>0</v>
      </c>
      <c r="D877">
        <v>522.01</v>
      </c>
      <c r="E877" s="8">
        <v>45767</v>
      </c>
      <c r="F877" s="8" t="s">
        <v>566</v>
      </c>
      <c r="G877">
        <v>135</v>
      </c>
      <c r="H877" t="s">
        <v>8</v>
      </c>
    </row>
    <row r="878" spans="1:8" x14ac:dyDescent="0.3">
      <c r="A878">
        <v>960</v>
      </c>
      <c r="B878" t="s">
        <v>2</v>
      </c>
      <c r="C878">
        <v>0</v>
      </c>
      <c r="D878">
        <v>223.28</v>
      </c>
      <c r="E878" s="8">
        <v>45805</v>
      </c>
      <c r="F878" t="s">
        <v>568</v>
      </c>
      <c r="G878">
        <v>237</v>
      </c>
      <c r="H878" t="s">
        <v>7</v>
      </c>
    </row>
    <row r="879" spans="1:8" x14ac:dyDescent="0.3">
      <c r="A879">
        <v>961</v>
      </c>
      <c r="B879" t="s">
        <v>2</v>
      </c>
      <c r="C879">
        <v>0</v>
      </c>
      <c r="D879">
        <v>282.52999999999997</v>
      </c>
      <c r="E879" s="8">
        <v>45825</v>
      </c>
      <c r="F879" s="8" t="s">
        <v>567</v>
      </c>
      <c r="G879">
        <v>613</v>
      </c>
      <c r="H879" t="s">
        <v>10</v>
      </c>
    </row>
    <row r="880" spans="1:8" x14ac:dyDescent="0.3">
      <c r="A880">
        <v>963</v>
      </c>
      <c r="B880" t="s">
        <v>2</v>
      </c>
      <c r="C880">
        <v>0</v>
      </c>
      <c r="D880">
        <v>173.16</v>
      </c>
      <c r="E880" s="8">
        <v>45812</v>
      </c>
      <c r="F880" s="8" t="s">
        <v>567</v>
      </c>
      <c r="G880">
        <v>342</v>
      </c>
      <c r="H880" t="s">
        <v>10</v>
      </c>
    </row>
    <row r="881" spans="1:8" x14ac:dyDescent="0.3">
      <c r="A881">
        <v>965</v>
      </c>
      <c r="B881" t="s">
        <v>2</v>
      </c>
      <c r="C881">
        <v>0</v>
      </c>
      <c r="D881">
        <v>316.76</v>
      </c>
      <c r="E881" s="8">
        <v>45804</v>
      </c>
      <c r="F881" t="s">
        <v>568</v>
      </c>
      <c r="G881">
        <v>988</v>
      </c>
      <c r="H881" t="s">
        <v>12</v>
      </c>
    </row>
    <row r="882" spans="1:8" x14ac:dyDescent="0.3">
      <c r="A882">
        <v>966</v>
      </c>
      <c r="B882" t="s">
        <v>2</v>
      </c>
      <c r="C882">
        <v>0</v>
      </c>
      <c r="D882">
        <v>200.11</v>
      </c>
      <c r="E882" s="8">
        <v>45794</v>
      </c>
      <c r="F882" t="s">
        <v>568</v>
      </c>
      <c r="G882">
        <v>326</v>
      </c>
      <c r="H882" t="s">
        <v>9</v>
      </c>
    </row>
    <row r="883" spans="1:8" x14ac:dyDescent="0.3">
      <c r="A883">
        <v>967</v>
      </c>
      <c r="B883" t="s">
        <v>3</v>
      </c>
      <c r="C883">
        <v>0</v>
      </c>
      <c r="D883">
        <v>281.54000000000002</v>
      </c>
      <c r="E883" s="8">
        <v>45773</v>
      </c>
      <c r="F883" s="8" t="s">
        <v>566</v>
      </c>
      <c r="G883">
        <v>496</v>
      </c>
      <c r="H883" t="s">
        <v>9</v>
      </c>
    </row>
    <row r="884" spans="1:8" x14ac:dyDescent="0.3">
      <c r="A884">
        <v>968</v>
      </c>
      <c r="B884" t="s">
        <v>2</v>
      </c>
      <c r="C884">
        <v>0</v>
      </c>
      <c r="D884">
        <v>484.9</v>
      </c>
      <c r="E884" s="8">
        <v>45821</v>
      </c>
      <c r="F884" s="8" t="s">
        <v>567</v>
      </c>
      <c r="G884">
        <v>350</v>
      </c>
      <c r="H884" t="s">
        <v>8</v>
      </c>
    </row>
    <row r="885" spans="1:8" x14ac:dyDescent="0.3">
      <c r="A885">
        <v>969</v>
      </c>
      <c r="B885" t="s">
        <v>2</v>
      </c>
      <c r="C885">
        <v>0</v>
      </c>
      <c r="D885">
        <v>216.4</v>
      </c>
      <c r="E885" s="8">
        <v>45799</v>
      </c>
      <c r="F885" t="s">
        <v>568</v>
      </c>
      <c r="G885">
        <v>792</v>
      </c>
      <c r="H885" t="s">
        <v>9</v>
      </c>
    </row>
    <row r="886" spans="1:8" x14ac:dyDescent="0.3">
      <c r="A886">
        <v>971</v>
      </c>
      <c r="B886" t="s">
        <v>3</v>
      </c>
      <c r="C886">
        <v>0</v>
      </c>
      <c r="D886">
        <v>185.94</v>
      </c>
      <c r="E886" s="8">
        <v>45798</v>
      </c>
      <c r="F886" t="s">
        <v>568</v>
      </c>
      <c r="G886">
        <v>58</v>
      </c>
      <c r="H886" t="s">
        <v>7</v>
      </c>
    </row>
    <row r="887" spans="1:8" x14ac:dyDescent="0.3">
      <c r="A887">
        <v>973</v>
      </c>
      <c r="B887" t="s">
        <v>3</v>
      </c>
      <c r="C887">
        <v>0</v>
      </c>
      <c r="D887">
        <v>442.48</v>
      </c>
      <c r="E887" s="8">
        <v>45825</v>
      </c>
      <c r="F887" s="8" t="s">
        <v>567</v>
      </c>
      <c r="G887">
        <v>953</v>
      </c>
      <c r="H887" t="s">
        <v>8</v>
      </c>
    </row>
    <row r="888" spans="1:8" x14ac:dyDescent="0.3">
      <c r="A888">
        <v>975</v>
      </c>
      <c r="B888" t="s">
        <v>3</v>
      </c>
      <c r="C888">
        <v>0</v>
      </c>
      <c r="D888">
        <v>437.07</v>
      </c>
      <c r="E888" s="8">
        <v>45761</v>
      </c>
      <c r="F888" s="8" t="s">
        <v>566</v>
      </c>
      <c r="G888">
        <v>560</v>
      </c>
      <c r="H888" t="s">
        <v>7</v>
      </c>
    </row>
    <row r="889" spans="1:8" x14ac:dyDescent="0.3">
      <c r="A889">
        <v>976</v>
      </c>
      <c r="B889" t="s">
        <v>2</v>
      </c>
      <c r="C889">
        <v>1</v>
      </c>
      <c r="D889">
        <v>220.59</v>
      </c>
      <c r="E889" s="8">
        <v>45814</v>
      </c>
      <c r="F889" s="8" t="s">
        <v>567</v>
      </c>
      <c r="G889">
        <v>682</v>
      </c>
      <c r="H889" t="s">
        <v>12</v>
      </c>
    </row>
    <row r="890" spans="1:8" x14ac:dyDescent="0.3">
      <c r="A890">
        <v>977</v>
      </c>
      <c r="B890" t="s">
        <v>3</v>
      </c>
      <c r="C890">
        <v>0</v>
      </c>
      <c r="D890">
        <v>189.74</v>
      </c>
      <c r="E890" s="8">
        <v>45769</v>
      </c>
      <c r="F890" s="8" t="s">
        <v>566</v>
      </c>
      <c r="G890">
        <v>415</v>
      </c>
      <c r="H890" t="s">
        <v>8</v>
      </c>
    </row>
    <row r="891" spans="1:8" x14ac:dyDescent="0.3">
      <c r="A891">
        <v>978</v>
      </c>
      <c r="B891" t="s">
        <v>2</v>
      </c>
      <c r="C891">
        <v>0</v>
      </c>
      <c r="D891">
        <v>355.24</v>
      </c>
      <c r="E891" s="8">
        <v>45767</v>
      </c>
      <c r="F891" s="8" t="s">
        <v>566</v>
      </c>
      <c r="G891">
        <v>634</v>
      </c>
      <c r="H891" t="s">
        <v>12</v>
      </c>
    </row>
    <row r="892" spans="1:8" x14ac:dyDescent="0.3">
      <c r="A892">
        <v>979</v>
      </c>
      <c r="B892" t="s">
        <v>2</v>
      </c>
      <c r="C892">
        <v>0</v>
      </c>
      <c r="D892">
        <v>228.04</v>
      </c>
      <c r="E892" s="8">
        <v>45769</v>
      </c>
      <c r="F892" s="8" t="s">
        <v>566</v>
      </c>
      <c r="G892">
        <v>638</v>
      </c>
      <c r="H892" t="s">
        <v>8</v>
      </c>
    </row>
    <row r="893" spans="1:8" x14ac:dyDescent="0.3">
      <c r="A893">
        <v>98</v>
      </c>
      <c r="B893" t="s">
        <v>2</v>
      </c>
      <c r="C893">
        <v>0</v>
      </c>
      <c r="D893">
        <v>413.91</v>
      </c>
      <c r="E893" s="8">
        <v>45797</v>
      </c>
      <c r="F893" t="s">
        <v>568</v>
      </c>
      <c r="G893">
        <v>879</v>
      </c>
      <c r="H893" t="s">
        <v>10</v>
      </c>
    </row>
    <row r="894" spans="1:8" x14ac:dyDescent="0.3">
      <c r="A894">
        <v>980</v>
      </c>
      <c r="B894" t="s">
        <v>3</v>
      </c>
      <c r="C894">
        <v>0</v>
      </c>
      <c r="D894">
        <v>448.26</v>
      </c>
      <c r="E894" s="8">
        <v>45804</v>
      </c>
      <c r="F894" t="s">
        <v>568</v>
      </c>
      <c r="G894">
        <v>220</v>
      </c>
      <c r="H894" t="s">
        <v>7</v>
      </c>
    </row>
    <row r="895" spans="1:8" x14ac:dyDescent="0.3">
      <c r="A895">
        <v>981</v>
      </c>
      <c r="B895" t="s">
        <v>2</v>
      </c>
      <c r="C895">
        <v>0</v>
      </c>
      <c r="D895">
        <v>149.36000000000001</v>
      </c>
      <c r="E895" s="8">
        <v>45762</v>
      </c>
      <c r="F895" s="8" t="s">
        <v>566</v>
      </c>
      <c r="G895">
        <v>733</v>
      </c>
      <c r="H895" t="s">
        <v>7</v>
      </c>
    </row>
    <row r="896" spans="1:8" x14ac:dyDescent="0.3">
      <c r="A896">
        <v>982</v>
      </c>
      <c r="B896" t="s">
        <v>3</v>
      </c>
      <c r="C896">
        <v>1</v>
      </c>
      <c r="D896">
        <v>193.4</v>
      </c>
      <c r="E896" s="8">
        <v>45796</v>
      </c>
      <c r="F896" t="s">
        <v>568</v>
      </c>
      <c r="G896">
        <v>70</v>
      </c>
      <c r="H896" t="s">
        <v>7</v>
      </c>
    </row>
    <row r="897" spans="1:8" x14ac:dyDescent="0.3">
      <c r="A897">
        <v>985</v>
      </c>
      <c r="B897" t="s">
        <v>2</v>
      </c>
      <c r="C897">
        <v>0</v>
      </c>
      <c r="D897">
        <v>239.39</v>
      </c>
      <c r="E897" s="8">
        <v>45752</v>
      </c>
      <c r="F897" s="8" t="s">
        <v>566</v>
      </c>
      <c r="G897">
        <v>697</v>
      </c>
      <c r="H897" t="s">
        <v>7</v>
      </c>
    </row>
    <row r="898" spans="1:8" x14ac:dyDescent="0.3">
      <c r="A898">
        <v>986</v>
      </c>
      <c r="B898" t="s">
        <v>3</v>
      </c>
      <c r="C898">
        <v>0</v>
      </c>
      <c r="D898">
        <v>229.64</v>
      </c>
      <c r="E898" s="8">
        <v>45800</v>
      </c>
      <c r="F898" t="s">
        <v>568</v>
      </c>
      <c r="G898">
        <v>735</v>
      </c>
      <c r="H898" t="s">
        <v>8</v>
      </c>
    </row>
    <row r="899" spans="1:8" x14ac:dyDescent="0.3">
      <c r="A899">
        <v>989</v>
      </c>
      <c r="B899" t="s">
        <v>2</v>
      </c>
      <c r="C899">
        <v>0</v>
      </c>
      <c r="D899">
        <v>287.64</v>
      </c>
      <c r="E899" s="8">
        <v>45804</v>
      </c>
      <c r="F899" t="s">
        <v>568</v>
      </c>
      <c r="G899">
        <v>22</v>
      </c>
      <c r="H899" t="s">
        <v>7</v>
      </c>
    </row>
    <row r="900" spans="1:8" x14ac:dyDescent="0.3">
      <c r="A900">
        <v>990</v>
      </c>
      <c r="B900" t="s">
        <v>3</v>
      </c>
      <c r="C900">
        <v>0</v>
      </c>
      <c r="D900">
        <v>458.36</v>
      </c>
      <c r="E900" s="8">
        <v>45764</v>
      </c>
      <c r="F900" s="8" t="s">
        <v>566</v>
      </c>
      <c r="G900">
        <v>327</v>
      </c>
      <c r="H900" t="s">
        <v>8</v>
      </c>
    </row>
    <row r="901" spans="1:8" x14ac:dyDescent="0.3">
      <c r="A901">
        <v>991</v>
      </c>
      <c r="B901" t="s">
        <v>3</v>
      </c>
      <c r="C901">
        <v>0</v>
      </c>
      <c r="D901">
        <v>200.08</v>
      </c>
      <c r="E901" s="8">
        <v>45767</v>
      </c>
      <c r="F901" s="8" t="s">
        <v>566</v>
      </c>
      <c r="G901">
        <v>734</v>
      </c>
      <c r="H901" t="s">
        <v>10</v>
      </c>
    </row>
    <row r="902" spans="1:8" x14ac:dyDescent="0.3">
      <c r="A902">
        <v>992</v>
      </c>
      <c r="B902" t="s">
        <v>3</v>
      </c>
      <c r="C902">
        <v>1</v>
      </c>
      <c r="D902">
        <v>214.08</v>
      </c>
      <c r="E902" s="8">
        <v>45790</v>
      </c>
      <c r="F902" t="s">
        <v>568</v>
      </c>
      <c r="G902">
        <v>375</v>
      </c>
      <c r="H902" t="s">
        <v>7</v>
      </c>
    </row>
    <row r="903" spans="1:8" x14ac:dyDescent="0.3">
      <c r="A903">
        <v>993</v>
      </c>
      <c r="B903" t="s">
        <v>2</v>
      </c>
      <c r="C903">
        <v>0</v>
      </c>
      <c r="D903">
        <v>311.37</v>
      </c>
      <c r="E903" s="8">
        <v>45768</v>
      </c>
      <c r="F903" s="8" t="s">
        <v>566</v>
      </c>
      <c r="G903">
        <v>99</v>
      </c>
      <c r="H903" t="s">
        <v>11</v>
      </c>
    </row>
    <row r="904" spans="1:8" x14ac:dyDescent="0.3">
      <c r="A904">
        <v>994</v>
      </c>
      <c r="B904" t="s">
        <v>3</v>
      </c>
      <c r="C904">
        <v>1</v>
      </c>
      <c r="D904">
        <v>477.09</v>
      </c>
      <c r="E904" s="8">
        <v>45792</v>
      </c>
      <c r="F904" t="s">
        <v>568</v>
      </c>
      <c r="G904">
        <v>798</v>
      </c>
      <c r="H904" t="s">
        <v>12</v>
      </c>
    </row>
    <row r="905" spans="1:8" x14ac:dyDescent="0.3">
      <c r="A905">
        <v>995</v>
      </c>
      <c r="B905" t="s">
        <v>2</v>
      </c>
      <c r="C905">
        <v>0</v>
      </c>
      <c r="D905">
        <v>489.02</v>
      </c>
      <c r="E905" s="8">
        <v>45796</v>
      </c>
      <c r="F905" t="s">
        <v>568</v>
      </c>
      <c r="G905">
        <v>565</v>
      </c>
      <c r="H905" t="s">
        <v>11</v>
      </c>
    </row>
    <row r="906" spans="1:8" x14ac:dyDescent="0.3">
      <c r="A906">
        <v>999</v>
      </c>
      <c r="B906" t="s">
        <v>2</v>
      </c>
      <c r="C906">
        <v>0</v>
      </c>
      <c r="D906">
        <v>109.62</v>
      </c>
      <c r="E906" s="8">
        <v>45824</v>
      </c>
      <c r="F906" s="8" t="s">
        <v>567</v>
      </c>
      <c r="G906">
        <v>416</v>
      </c>
      <c r="H906" t="s">
        <v>8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A9AA-B259-420F-8455-F106AE661D45}">
  <dimension ref="A1:I501"/>
  <sheetViews>
    <sheetView workbookViewId="0">
      <selection activeCell="J2" sqref="J2"/>
    </sheetView>
  </sheetViews>
  <sheetFormatPr baseColWidth="10" defaultRowHeight="16.5" x14ac:dyDescent="0.3"/>
  <cols>
    <col min="1" max="1" width="12.75" bestFit="1" customWidth="1"/>
    <col min="2" max="2" width="25.75" bestFit="1" customWidth="1"/>
    <col min="3" max="3" width="10.75" bestFit="1" customWidth="1"/>
    <col min="4" max="4" width="8.25" bestFit="1" customWidth="1"/>
    <col min="5" max="5" width="7.375" bestFit="1" customWidth="1"/>
    <col min="6" max="6" width="6.5" bestFit="1" customWidth="1"/>
    <col min="7" max="7" width="15" bestFit="1" customWidth="1"/>
    <col min="8" max="8" width="12.25" bestFit="1" customWidth="1"/>
    <col min="9" max="9" width="9.375" bestFit="1" customWidth="1"/>
  </cols>
  <sheetData>
    <row r="1" spans="1:9" x14ac:dyDescent="0.3">
      <c r="A1" t="s">
        <v>24</v>
      </c>
      <c r="B1" t="s">
        <v>25</v>
      </c>
      <c r="C1" t="s">
        <v>14</v>
      </c>
      <c r="D1" t="s">
        <v>528</v>
      </c>
      <c r="E1" t="s">
        <v>529</v>
      </c>
      <c r="F1" t="s">
        <v>530</v>
      </c>
      <c r="G1" t="s">
        <v>531</v>
      </c>
      <c r="H1" t="s">
        <v>532</v>
      </c>
      <c r="I1" t="s">
        <v>533</v>
      </c>
    </row>
    <row r="2" spans="1:9" x14ac:dyDescent="0.3">
      <c r="A2">
        <v>1</v>
      </c>
      <c r="B2" t="s">
        <v>76</v>
      </c>
      <c r="C2" t="s">
        <v>18</v>
      </c>
      <c r="D2" t="s">
        <v>534</v>
      </c>
      <c r="E2" t="s">
        <v>535</v>
      </c>
      <c r="F2" t="s">
        <v>536</v>
      </c>
      <c r="G2">
        <v>40.409999999999997</v>
      </c>
      <c r="H2">
        <v>20.7</v>
      </c>
      <c r="I2" t="s">
        <v>537</v>
      </c>
    </row>
    <row r="3" spans="1:9" x14ac:dyDescent="0.3">
      <c r="A3">
        <v>2</v>
      </c>
      <c r="B3" t="s">
        <v>77</v>
      </c>
      <c r="C3" t="s">
        <v>16</v>
      </c>
      <c r="D3" t="s">
        <v>534</v>
      </c>
      <c r="E3" t="s">
        <v>538</v>
      </c>
      <c r="F3" t="s">
        <v>536</v>
      </c>
      <c r="G3">
        <v>78.45</v>
      </c>
      <c r="H3">
        <v>53.76</v>
      </c>
      <c r="I3" t="s">
        <v>537</v>
      </c>
    </row>
    <row r="4" spans="1:9" x14ac:dyDescent="0.3">
      <c r="A4">
        <v>3</v>
      </c>
      <c r="B4" t="s">
        <v>78</v>
      </c>
      <c r="C4" t="s">
        <v>16</v>
      </c>
      <c r="D4" t="s">
        <v>534</v>
      </c>
      <c r="E4" t="s">
        <v>535</v>
      </c>
      <c r="F4" t="s">
        <v>539</v>
      </c>
      <c r="G4">
        <v>23.9</v>
      </c>
      <c r="H4">
        <v>14.81</v>
      </c>
      <c r="I4" t="s">
        <v>537</v>
      </c>
    </row>
    <row r="5" spans="1:9" x14ac:dyDescent="0.3">
      <c r="A5">
        <v>4</v>
      </c>
      <c r="B5" t="s">
        <v>79</v>
      </c>
      <c r="C5" t="s">
        <v>16</v>
      </c>
      <c r="D5" t="s">
        <v>534</v>
      </c>
      <c r="E5" t="s">
        <v>538</v>
      </c>
      <c r="F5" t="s">
        <v>536</v>
      </c>
      <c r="G5">
        <v>60</v>
      </c>
      <c r="H5">
        <v>34.78</v>
      </c>
      <c r="I5" t="s">
        <v>537</v>
      </c>
    </row>
    <row r="6" spans="1:9" x14ac:dyDescent="0.3">
      <c r="A6">
        <v>5</v>
      </c>
      <c r="B6" t="s">
        <v>80</v>
      </c>
      <c r="C6" t="s">
        <v>20</v>
      </c>
      <c r="D6" t="s">
        <v>534</v>
      </c>
      <c r="E6" t="s">
        <v>540</v>
      </c>
      <c r="F6" t="s">
        <v>541</v>
      </c>
      <c r="G6">
        <v>36.840000000000003</v>
      </c>
      <c r="H6">
        <v>16.46</v>
      </c>
      <c r="I6" t="s">
        <v>537</v>
      </c>
    </row>
    <row r="7" spans="1:9" x14ac:dyDescent="0.3">
      <c r="A7">
        <v>6</v>
      </c>
      <c r="B7" t="s">
        <v>81</v>
      </c>
      <c r="C7" t="s">
        <v>17</v>
      </c>
      <c r="D7" t="s">
        <v>534</v>
      </c>
      <c r="E7" t="s">
        <v>535</v>
      </c>
      <c r="F7">
        <v>36</v>
      </c>
      <c r="G7">
        <v>70.86</v>
      </c>
      <c r="H7">
        <v>31.66</v>
      </c>
      <c r="I7" t="s">
        <v>537</v>
      </c>
    </row>
    <row r="8" spans="1:9" x14ac:dyDescent="0.3">
      <c r="A8">
        <v>7</v>
      </c>
      <c r="B8" t="s">
        <v>82</v>
      </c>
      <c r="C8" t="s">
        <v>18</v>
      </c>
      <c r="D8" t="s">
        <v>534</v>
      </c>
      <c r="E8" t="s">
        <v>538</v>
      </c>
      <c r="F8" t="s">
        <v>541</v>
      </c>
      <c r="G8">
        <v>57.66</v>
      </c>
      <c r="H8">
        <v>24.07</v>
      </c>
      <c r="I8" t="s">
        <v>537</v>
      </c>
    </row>
    <row r="9" spans="1:9" x14ac:dyDescent="0.3">
      <c r="A9">
        <v>8</v>
      </c>
      <c r="B9" t="s">
        <v>83</v>
      </c>
      <c r="C9" t="s">
        <v>20</v>
      </c>
      <c r="D9" t="s">
        <v>534</v>
      </c>
      <c r="E9" t="s">
        <v>535</v>
      </c>
      <c r="F9" t="s">
        <v>541</v>
      </c>
      <c r="G9">
        <v>50.91</v>
      </c>
      <c r="H9">
        <v>33.590000000000003</v>
      </c>
      <c r="I9" t="s">
        <v>537</v>
      </c>
    </row>
    <row r="10" spans="1:9" x14ac:dyDescent="0.3">
      <c r="A10">
        <v>9</v>
      </c>
      <c r="B10" t="s">
        <v>84</v>
      </c>
      <c r="C10" t="s">
        <v>17</v>
      </c>
      <c r="D10" t="s">
        <v>534</v>
      </c>
      <c r="E10" t="s">
        <v>542</v>
      </c>
      <c r="F10">
        <v>40</v>
      </c>
      <c r="G10">
        <v>40.5</v>
      </c>
      <c r="H10">
        <v>23.5</v>
      </c>
      <c r="I10" t="s">
        <v>537</v>
      </c>
    </row>
    <row r="11" spans="1:9" x14ac:dyDescent="0.3">
      <c r="A11">
        <v>10</v>
      </c>
      <c r="B11" t="s">
        <v>85</v>
      </c>
      <c r="C11" t="s">
        <v>20</v>
      </c>
      <c r="D11" t="s">
        <v>534</v>
      </c>
      <c r="E11" t="s">
        <v>543</v>
      </c>
      <c r="F11" t="s">
        <v>544</v>
      </c>
      <c r="G11">
        <v>79.7</v>
      </c>
      <c r="H11">
        <v>48.81</v>
      </c>
      <c r="I11" t="s">
        <v>537</v>
      </c>
    </row>
    <row r="12" spans="1:9" x14ac:dyDescent="0.3">
      <c r="A12">
        <v>11</v>
      </c>
      <c r="B12" t="s">
        <v>26</v>
      </c>
      <c r="C12" t="s">
        <v>17</v>
      </c>
      <c r="D12" t="s">
        <v>534</v>
      </c>
      <c r="E12" t="s">
        <v>535</v>
      </c>
      <c r="F12">
        <v>38</v>
      </c>
      <c r="G12">
        <v>51.09</v>
      </c>
      <c r="H12">
        <v>20.75</v>
      </c>
      <c r="I12" t="s">
        <v>537</v>
      </c>
    </row>
    <row r="13" spans="1:9" x14ac:dyDescent="0.3">
      <c r="A13">
        <v>12</v>
      </c>
      <c r="B13" t="s">
        <v>86</v>
      </c>
      <c r="C13" t="s">
        <v>18</v>
      </c>
      <c r="D13" t="s">
        <v>534</v>
      </c>
      <c r="E13" t="s">
        <v>542</v>
      </c>
      <c r="F13" t="s">
        <v>539</v>
      </c>
      <c r="G13">
        <v>44.77</v>
      </c>
      <c r="H13">
        <v>30.93</v>
      </c>
      <c r="I13" t="s">
        <v>537</v>
      </c>
    </row>
    <row r="14" spans="1:9" x14ac:dyDescent="0.3">
      <c r="A14">
        <v>13</v>
      </c>
      <c r="B14" t="s">
        <v>87</v>
      </c>
      <c r="C14" t="s">
        <v>17</v>
      </c>
      <c r="D14" t="s">
        <v>534</v>
      </c>
      <c r="E14" t="s">
        <v>535</v>
      </c>
      <c r="F14">
        <v>36</v>
      </c>
      <c r="G14">
        <v>34.25</v>
      </c>
      <c r="H14">
        <v>22.25</v>
      </c>
      <c r="I14" t="s">
        <v>537</v>
      </c>
    </row>
    <row r="15" spans="1:9" x14ac:dyDescent="0.3">
      <c r="A15">
        <v>14</v>
      </c>
      <c r="B15" t="s">
        <v>88</v>
      </c>
      <c r="C15" t="s">
        <v>18</v>
      </c>
      <c r="D15" t="s">
        <v>534</v>
      </c>
      <c r="E15" t="s">
        <v>543</v>
      </c>
      <c r="F15" t="s">
        <v>545</v>
      </c>
      <c r="G15">
        <v>24.96</v>
      </c>
      <c r="H15">
        <v>11.57</v>
      </c>
      <c r="I15" t="s">
        <v>537</v>
      </c>
    </row>
    <row r="16" spans="1:9" x14ac:dyDescent="0.3">
      <c r="A16">
        <v>15</v>
      </c>
      <c r="B16" t="s">
        <v>89</v>
      </c>
      <c r="C16" t="s">
        <v>16</v>
      </c>
      <c r="D16" t="s">
        <v>534</v>
      </c>
      <c r="E16" t="s">
        <v>540</v>
      </c>
      <c r="F16" t="s">
        <v>536</v>
      </c>
      <c r="G16">
        <v>61.26</v>
      </c>
      <c r="H16">
        <v>27.85</v>
      </c>
      <c r="I16" t="s">
        <v>537</v>
      </c>
    </row>
    <row r="17" spans="1:9" x14ac:dyDescent="0.3">
      <c r="A17">
        <v>16</v>
      </c>
      <c r="B17" t="s">
        <v>27</v>
      </c>
      <c r="C17" t="s">
        <v>20</v>
      </c>
      <c r="D17" t="s">
        <v>534</v>
      </c>
      <c r="E17" t="s">
        <v>540</v>
      </c>
      <c r="F17" t="s">
        <v>541</v>
      </c>
      <c r="G17">
        <v>40.36</v>
      </c>
      <c r="H17">
        <v>18.36</v>
      </c>
      <c r="I17" t="s">
        <v>537</v>
      </c>
    </row>
    <row r="18" spans="1:9" x14ac:dyDescent="0.3">
      <c r="A18">
        <v>17</v>
      </c>
      <c r="B18" t="s">
        <v>90</v>
      </c>
      <c r="C18" t="s">
        <v>18</v>
      </c>
      <c r="D18" t="s">
        <v>534</v>
      </c>
      <c r="E18" t="s">
        <v>540</v>
      </c>
      <c r="F18" t="s">
        <v>544</v>
      </c>
      <c r="G18">
        <v>51.9</v>
      </c>
      <c r="H18">
        <v>25.5</v>
      </c>
      <c r="I18" t="s">
        <v>537</v>
      </c>
    </row>
    <row r="19" spans="1:9" x14ac:dyDescent="0.3">
      <c r="A19">
        <v>18</v>
      </c>
      <c r="B19" t="s">
        <v>91</v>
      </c>
      <c r="C19" t="s">
        <v>17</v>
      </c>
      <c r="D19" t="s">
        <v>534</v>
      </c>
      <c r="E19" t="s">
        <v>535</v>
      </c>
      <c r="F19" t="s">
        <v>545</v>
      </c>
      <c r="G19">
        <v>40.99</v>
      </c>
      <c r="H19">
        <v>22.85</v>
      </c>
      <c r="I19" t="s">
        <v>537</v>
      </c>
    </row>
    <row r="20" spans="1:9" x14ac:dyDescent="0.3">
      <c r="A20">
        <v>19</v>
      </c>
      <c r="B20" t="s">
        <v>92</v>
      </c>
      <c r="C20" t="s">
        <v>18</v>
      </c>
      <c r="D20" t="s">
        <v>534</v>
      </c>
      <c r="E20" t="s">
        <v>540</v>
      </c>
      <c r="F20" t="s">
        <v>536</v>
      </c>
      <c r="G20">
        <v>65.260000000000005</v>
      </c>
      <c r="H20">
        <v>34.56</v>
      </c>
      <c r="I20" t="s">
        <v>537</v>
      </c>
    </row>
    <row r="21" spans="1:9" x14ac:dyDescent="0.3">
      <c r="A21">
        <v>20</v>
      </c>
      <c r="B21" t="s">
        <v>93</v>
      </c>
      <c r="C21" t="s">
        <v>18</v>
      </c>
      <c r="D21" t="s">
        <v>534</v>
      </c>
      <c r="E21" t="s">
        <v>538</v>
      </c>
      <c r="F21" t="s">
        <v>545</v>
      </c>
      <c r="G21">
        <v>45.42</v>
      </c>
      <c r="H21">
        <v>22.14</v>
      </c>
      <c r="I21" t="s">
        <v>537</v>
      </c>
    </row>
    <row r="22" spans="1:9" x14ac:dyDescent="0.3">
      <c r="A22">
        <v>21</v>
      </c>
      <c r="B22" t="s">
        <v>94</v>
      </c>
      <c r="C22" t="s">
        <v>17</v>
      </c>
      <c r="D22" t="s">
        <v>534</v>
      </c>
      <c r="E22" t="s">
        <v>542</v>
      </c>
      <c r="F22">
        <v>36</v>
      </c>
      <c r="G22">
        <v>43.3</v>
      </c>
      <c r="H22">
        <v>25.27</v>
      </c>
      <c r="I22" t="s">
        <v>537</v>
      </c>
    </row>
    <row r="23" spans="1:9" x14ac:dyDescent="0.3">
      <c r="A23">
        <v>22</v>
      </c>
      <c r="B23" t="s">
        <v>95</v>
      </c>
      <c r="C23" t="s">
        <v>16</v>
      </c>
      <c r="D23" t="s">
        <v>534</v>
      </c>
      <c r="E23" t="s">
        <v>543</v>
      </c>
      <c r="F23" t="s">
        <v>545</v>
      </c>
      <c r="G23">
        <v>58.26</v>
      </c>
      <c r="H23">
        <v>25.74</v>
      </c>
      <c r="I23" t="s">
        <v>537</v>
      </c>
    </row>
    <row r="24" spans="1:9" x14ac:dyDescent="0.3">
      <c r="A24">
        <v>23</v>
      </c>
      <c r="B24" t="s">
        <v>96</v>
      </c>
      <c r="C24" t="s">
        <v>18</v>
      </c>
      <c r="D24" t="s">
        <v>534</v>
      </c>
      <c r="E24" t="s">
        <v>542</v>
      </c>
      <c r="F24" t="s">
        <v>539</v>
      </c>
      <c r="G24">
        <v>27.5</v>
      </c>
      <c r="H24">
        <v>13.41</v>
      </c>
      <c r="I24" t="s">
        <v>537</v>
      </c>
    </row>
    <row r="25" spans="1:9" x14ac:dyDescent="0.3">
      <c r="A25">
        <v>24</v>
      </c>
      <c r="B25" t="s">
        <v>97</v>
      </c>
      <c r="C25" t="s">
        <v>18</v>
      </c>
      <c r="D25" t="s">
        <v>534</v>
      </c>
      <c r="E25" t="s">
        <v>535</v>
      </c>
      <c r="F25" t="s">
        <v>536</v>
      </c>
      <c r="G25">
        <v>42.76</v>
      </c>
      <c r="H25">
        <v>21.8</v>
      </c>
      <c r="I25" t="s">
        <v>537</v>
      </c>
    </row>
    <row r="26" spans="1:9" x14ac:dyDescent="0.3">
      <c r="A26">
        <v>25</v>
      </c>
      <c r="B26" t="s">
        <v>98</v>
      </c>
      <c r="C26" t="s">
        <v>19</v>
      </c>
      <c r="D26" t="s">
        <v>534</v>
      </c>
      <c r="E26" t="s">
        <v>542</v>
      </c>
      <c r="F26" t="s">
        <v>544</v>
      </c>
      <c r="G26">
        <v>52.94</v>
      </c>
      <c r="H26">
        <v>28.42</v>
      </c>
      <c r="I26" t="s">
        <v>537</v>
      </c>
    </row>
    <row r="27" spans="1:9" x14ac:dyDescent="0.3">
      <c r="A27">
        <v>26</v>
      </c>
      <c r="B27" t="s">
        <v>99</v>
      </c>
      <c r="C27" t="s">
        <v>17</v>
      </c>
      <c r="D27" t="s">
        <v>534</v>
      </c>
      <c r="E27" t="s">
        <v>538</v>
      </c>
      <c r="F27">
        <v>40</v>
      </c>
      <c r="G27">
        <v>57.48</v>
      </c>
      <c r="H27">
        <v>36.53</v>
      </c>
      <c r="I27" t="s">
        <v>537</v>
      </c>
    </row>
    <row r="28" spans="1:9" x14ac:dyDescent="0.3">
      <c r="A28">
        <v>27</v>
      </c>
      <c r="B28" t="s">
        <v>28</v>
      </c>
      <c r="C28" t="s">
        <v>18</v>
      </c>
      <c r="D28" t="s">
        <v>534</v>
      </c>
      <c r="E28" t="s">
        <v>542</v>
      </c>
      <c r="F28" t="s">
        <v>539</v>
      </c>
      <c r="G28">
        <v>57.35</v>
      </c>
      <c r="H28">
        <v>26.38</v>
      </c>
      <c r="I28" t="s">
        <v>537</v>
      </c>
    </row>
    <row r="29" spans="1:9" x14ac:dyDescent="0.3">
      <c r="A29">
        <v>28</v>
      </c>
      <c r="B29" t="s">
        <v>100</v>
      </c>
      <c r="C29" t="s">
        <v>17</v>
      </c>
      <c r="D29" t="s">
        <v>534</v>
      </c>
      <c r="E29" t="s">
        <v>542</v>
      </c>
      <c r="F29">
        <v>38</v>
      </c>
      <c r="G29">
        <v>51.18</v>
      </c>
      <c r="H29">
        <v>28.37</v>
      </c>
      <c r="I29" t="s">
        <v>537</v>
      </c>
    </row>
    <row r="30" spans="1:9" x14ac:dyDescent="0.3">
      <c r="A30">
        <v>29</v>
      </c>
      <c r="B30" t="s">
        <v>101</v>
      </c>
      <c r="C30" t="s">
        <v>19</v>
      </c>
      <c r="D30" t="s">
        <v>534</v>
      </c>
      <c r="E30" t="s">
        <v>538</v>
      </c>
      <c r="F30" t="s">
        <v>545</v>
      </c>
      <c r="G30">
        <v>44.27</v>
      </c>
      <c r="H30">
        <v>25.58</v>
      </c>
      <c r="I30" t="s">
        <v>537</v>
      </c>
    </row>
    <row r="31" spans="1:9" x14ac:dyDescent="0.3">
      <c r="A31">
        <v>30</v>
      </c>
      <c r="B31" t="s">
        <v>102</v>
      </c>
      <c r="C31" t="s">
        <v>20</v>
      </c>
      <c r="D31" t="s">
        <v>534</v>
      </c>
      <c r="E31" t="s">
        <v>540</v>
      </c>
      <c r="F31" t="s">
        <v>545</v>
      </c>
      <c r="G31">
        <v>31.09</v>
      </c>
      <c r="H31">
        <v>12.87</v>
      </c>
      <c r="I31" t="s">
        <v>537</v>
      </c>
    </row>
    <row r="32" spans="1:9" x14ac:dyDescent="0.3">
      <c r="A32">
        <v>31</v>
      </c>
      <c r="B32" t="s">
        <v>103</v>
      </c>
      <c r="C32" t="s">
        <v>20</v>
      </c>
      <c r="D32" t="s">
        <v>534</v>
      </c>
      <c r="E32" t="s">
        <v>538</v>
      </c>
      <c r="F32" t="s">
        <v>544</v>
      </c>
      <c r="G32">
        <v>69.819999999999993</v>
      </c>
      <c r="H32">
        <v>40.65</v>
      </c>
      <c r="I32" t="s">
        <v>537</v>
      </c>
    </row>
    <row r="33" spans="1:9" x14ac:dyDescent="0.3">
      <c r="A33">
        <v>32</v>
      </c>
      <c r="B33" t="s">
        <v>104</v>
      </c>
      <c r="C33" t="s">
        <v>16</v>
      </c>
      <c r="D33" t="s">
        <v>534</v>
      </c>
      <c r="E33" t="s">
        <v>540</v>
      </c>
      <c r="F33" t="s">
        <v>545</v>
      </c>
      <c r="G33">
        <v>54.83</v>
      </c>
      <c r="H33">
        <v>24.74</v>
      </c>
      <c r="I33" t="s">
        <v>537</v>
      </c>
    </row>
    <row r="34" spans="1:9" x14ac:dyDescent="0.3">
      <c r="A34">
        <v>33</v>
      </c>
      <c r="B34" t="s">
        <v>105</v>
      </c>
      <c r="C34" t="s">
        <v>18</v>
      </c>
      <c r="D34" t="s">
        <v>534</v>
      </c>
      <c r="E34" t="s">
        <v>540</v>
      </c>
      <c r="F34" t="s">
        <v>539</v>
      </c>
      <c r="G34">
        <v>65.23</v>
      </c>
      <c r="H34">
        <v>27.36</v>
      </c>
      <c r="I34" t="s">
        <v>537</v>
      </c>
    </row>
    <row r="35" spans="1:9" x14ac:dyDescent="0.3">
      <c r="A35">
        <v>34</v>
      </c>
      <c r="B35" t="s">
        <v>106</v>
      </c>
      <c r="C35" t="s">
        <v>18</v>
      </c>
      <c r="D35" t="s">
        <v>534</v>
      </c>
      <c r="E35" t="s">
        <v>535</v>
      </c>
      <c r="F35" t="s">
        <v>536</v>
      </c>
      <c r="G35">
        <v>48.34</v>
      </c>
      <c r="H35">
        <v>33.1</v>
      </c>
      <c r="I35" t="s">
        <v>537</v>
      </c>
    </row>
    <row r="36" spans="1:9" x14ac:dyDescent="0.3">
      <c r="A36">
        <v>35</v>
      </c>
      <c r="B36" t="s">
        <v>107</v>
      </c>
      <c r="C36" t="s">
        <v>18</v>
      </c>
      <c r="D36" t="s">
        <v>534</v>
      </c>
      <c r="E36" t="s">
        <v>538</v>
      </c>
      <c r="F36" t="s">
        <v>539</v>
      </c>
      <c r="G36">
        <v>61.61</v>
      </c>
      <c r="H36">
        <v>42.49</v>
      </c>
      <c r="I36" t="s">
        <v>537</v>
      </c>
    </row>
    <row r="37" spans="1:9" x14ac:dyDescent="0.3">
      <c r="A37">
        <v>36</v>
      </c>
      <c r="B37" t="s">
        <v>108</v>
      </c>
      <c r="C37" t="s">
        <v>18</v>
      </c>
      <c r="D37" t="s">
        <v>534</v>
      </c>
      <c r="E37" t="s">
        <v>542</v>
      </c>
      <c r="F37" t="s">
        <v>544</v>
      </c>
      <c r="G37">
        <v>72.06</v>
      </c>
      <c r="H37">
        <v>46.3</v>
      </c>
      <c r="I37" t="s">
        <v>537</v>
      </c>
    </row>
    <row r="38" spans="1:9" x14ac:dyDescent="0.3">
      <c r="A38">
        <v>37</v>
      </c>
      <c r="B38" t="s">
        <v>109</v>
      </c>
      <c r="C38" t="s">
        <v>20</v>
      </c>
      <c r="D38" t="s">
        <v>534</v>
      </c>
      <c r="E38" t="s">
        <v>542</v>
      </c>
      <c r="F38" t="s">
        <v>545</v>
      </c>
      <c r="G38">
        <v>51.33</v>
      </c>
      <c r="H38">
        <v>25.22</v>
      </c>
      <c r="I38" t="s">
        <v>537</v>
      </c>
    </row>
    <row r="39" spans="1:9" x14ac:dyDescent="0.3">
      <c r="A39">
        <v>38</v>
      </c>
      <c r="B39" t="s">
        <v>110</v>
      </c>
      <c r="C39" t="s">
        <v>16</v>
      </c>
      <c r="D39" t="s">
        <v>534</v>
      </c>
      <c r="E39" t="s">
        <v>542</v>
      </c>
      <c r="F39" t="s">
        <v>545</v>
      </c>
      <c r="G39">
        <v>62.8</v>
      </c>
      <c r="H39">
        <v>26.96</v>
      </c>
      <c r="I39" t="s">
        <v>537</v>
      </c>
    </row>
    <row r="40" spans="1:9" x14ac:dyDescent="0.3">
      <c r="A40">
        <v>39</v>
      </c>
      <c r="B40" t="s">
        <v>111</v>
      </c>
      <c r="C40" t="s">
        <v>20</v>
      </c>
      <c r="D40" t="s">
        <v>534</v>
      </c>
      <c r="E40" t="s">
        <v>542</v>
      </c>
      <c r="F40" t="s">
        <v>541</v>
      </c>
      <c r="G40">
        <v>29.97</v>
      </c>
      <c r="H40">
        <v>18.14</v>
      </c>
      <c r="I40" t="s">
        <v>537</v>
      </c>
    </row>
    <row r="41" spans="1:9" x14ac:dyDescent="0.3">
      <c r="A41">
        <v>40</v>
      </c>
      <c r="B41" t="s">
        <v>112</v>
      </c>
      <c r="C41" t="s">
        <v>20</v>
      </c>
      <c r="D41" t="s">
        <v>534</v>
      </c>
      <c r="E41" t="s">
        <v>538</v>
      </c>
      <c r="F41" t="s">
        <v>544</v>
      </c>
      <c r="G41">
        <v>53.19</v>
      </c>
      <c r="H41">
        <v>28.3</v>
      </c>
      <c r="I41" t="s">
        <v>537</v>
      </c>
    </row>
    <row r="42" spans="1:9" x14ac:dyDescent="0.3">
      <c r="A42">
        <v>41</v>
      </c>
      <c r="B42" t="s">
        <v>113</v>
      </c>
      <c r="C42" t="s">
        <v>20</v>
      </c>
      <c r="D42" t="s">
        <v>534</v>
      </c>
      <c r="E42" t="s">
        <v>535</v>
      </c>
      <c r="F42" t="s">
        <v>541</v>
      </c>
      <c r="G42">
        <v>37.94</v>
      </c>
      <c r="H42">
        <v>16.57</v>
      </c>
      <c r="I42" t="s">
        <v>537</v>
      </c>
    </row>
    <row r="43" spans="1:9" x14ac:dyDescent="0.3">
      <c r="A43">
        <v>42</v>
      </c>
      <c r="B43" t="s">
        <v>114</v>
      </c>
      <c r="C43" t="s">
        <v>19</v>
      </c>
      <c r="D43" t="s">
        <v>534</v>
      </c>
      <c r="E43" t="s">
        <v>535</v>
      </c>
      <c r="F43" t="s">
        <v>544</v>
      </c>
      <c r="G43">
        <v>54.2</v>
      </c>
      <c r="H43">
        <v>29.73</v>
      </c>
      <c r="I43" t="s">
        <v>537</v>
      </c>
    </row>
    <row r="44" spans="1:9" x14ac:dyDescent="0.3">
      <c r="A44">
        <v>43</v>
      </c>
      <c r="B44" t="s">
        <v>115</v>
      </c>
      <c r="C44" t="s">
        <v>18</v>
      </c>
      <c r="D44" t="s">
        <v>534</v>
      </c>
      <c r="E44" t="s">
        <v>540</v>
      </c>
      <c r="F44" t="s">
        <v>544</v>
      </c>
      <c r="G44">
        <v>49.4</v>
      </c>
      <c r="H44">
        <v>20.27</v>
      </c>
      <c r="I44" t="s">
        <v>537</v>
      </c>
    </row>
    <row r="45" spans="1:9" x14ac:dyDescent="0.3">
      <c r="A45">
        <v>44</v>
      </c>
      <c r="B45" t="s">
        <v>116</v>
      </c>
      <c r="C45" t="s">
        <v>20</v>
      </c>
      <c r="D45" t="s">
        <v>534</v>
      </c>
      <c r="E45" t="s">
        <v>542</v>
      </c>
      <c r="F45" t="s">
        <v>545</v>
      </c>
      <c r="G45">
        <v>64.84</v>
      </c>
      <c r="H45">
        <v>43.62</v>
      </c>
      <c r="I45" t="s">
        <v>537</v>
      </c>
    </row>
    <row r="46" spans="1:9" x14ac:dyDescent="0.3">
      <c r="A46">
        <v>45</v>
      </c>
      <c r="B46" t="s">
        <v>117</v>
      </c>
      <c r="C46" t="s">
        <v>16</v>
      </c>
      <c r="D46" t="s">
        <v>534</v>
      </c>
      <c r="E46" t="s">
        <v>542</v>
      </c>
      <c r="F46" t="s">
        <v>536</v>
      </c>
      <c r="G46">
        <v>54.16</v>
      </c>
      <c r="H46">
        <v>25.87</v>
      </c>
      <c r="I46" t="s">
        <v>537</v>
      </c>
    </row>
    <row r="47" spans="1:9" x14ac:dyDescent="0.3">
      <c r="A47">
        <v>46</v>
      </c>
      <c r="B47" t="s">
        <v>118</v>
      </c>
      <c r="C47" t="s">
        <v>19</v>
      </c>
      <c r="D47" t="s">
        <v>534</v>
      </c>
      <c r="E47" t="s">
        <v>540</v>
      </c>
      <c r="F47" t="s">
        <v>545</v>
      </c>
      <c r="G47">
        <v>25.15</v>
      </c>
      <c r="H47">
        <v>15.06</v>
      </c>
      <c r="I47" t="s">
        <v>537</v>
      </c>
    </row>
    <row r="48" spans="1:9" x14ac:dyDescent="0.3">
      <c r="A48">
        <v>47</v>
      </c>
      <c r="B48" t="s">
        <v>119</v>
      </c>
      <c r="C48" t="s">
        <v>16</v>
      </c>
      <c r="D48" t="s">
        <v>534</v>
      </c>
      <c r="E48" t="s">
        <v>538</v>
      </c>
      <c r="F48" t="s">
        <v>545</v>
      </c>
      <c r="G48">
        <v>53.73</v>
      </c>
      <c r="H48">
        <v>26.52</v>
      </c>
      <c r="I48" t="s">
        <v>537</v>
      </c>
    </row>
    <row r="49" spans="1:9" x14ac:dyDescent="0.3">
      <c r="A49">
        <v>48</v>
      </c>
      <c r="B49" t="s">
        <v>120</v>
      </c>
      <c r="C49" t="s">
        <v>17</v>
      </c>
      <c r="D49" t="s">
        <v>534</v>
      </c>
      <c r="E49" t="s">
        <v>542</v>
      </c>
      <c r="F49" t="s">
        <v>545</v>
      </c>
      <c r="G49">
        <v>54.38</v>
      </c>
      <c r="H49">
        <v>30.24</v>
      </c>
      <c r="I49" t="s">
        <v>537</v>
      </c>
    </row>
    <row r="50" spans="1:9" x14ac:dyDescent="0.3">
      <c r="A50">
        <v>49</v>
      </c>
      <c r="B50" t="s">
        <v>29</v>
      </c>
      <c r="C50" t="s">
        <v>16</v>
      </c>
      <c r="D50" t="s">
        <v>534</v>
      </c>
      <c r="E50" t="s">
        <v>543</v>
      </c>
      <c r="F50" t="s">
        <v>545</v>
      </c>
      <c r="G50">
        <v>57.35</v>
      </c>
      <c r="H50">
        <v>32.35</v>
      </c>
      <c r="I50" t="s">
        <v>537</v>
      </c>
    </row>
    <row r="51" spans="1:9" x14ac:dyDescent="0.3">
      <c r="A51">
        <v>50</v>
      </c>
      <c r="B51" t="s">
        <v>121</v>
      </c>
      <c r="C51" t="s">
        <v>16</v>
      </c>
      <c r="D51" t="s">
        <v>534</v>
      </c>
      <c r="E51" t="s">
        <v>542</v>
      </c>
      <c r="F51" t="s">
        <v>541</v>
      </c>
      <c r="G51">
        <v>61.95</v>
      </c>
      <c r="H51">
        <v>28.22</v>
      </c>
      <c r="I51" t="s">
        <v>537</v>
      </c>
    </row>
    <row r="52" spans="1:9" x14ac:dyDescent="0.3">
      <c r="A52">
        <v>51</v>
      </c>
      <c r="B52" t="s">
        <v>122</v>
      </c>
      <c r="C52" t="s">
        <v>19</v>
      </c>
      <c r="D52" t="s">
        <v>534</v>
      </c>
      <c r="E52" t="s">
        <v>535</v>
      </c>
      <c r="F52" t="s">
        <v>539</v>
      </c>
      <c r="G52">
        <v>25.38</v>
      </c>
      <c r="H52">
        <v>17.53</v>
      </c>
      <c r="I52" t="s">
        <v>537</v>
      </c>
    </row>
    <row r="53" spans="1:9" x14ac:dyDescent="0.3">
      <c r="A53">
        <v>52</v>
      </c>
      <c r="B53" t="s">
        <v>123</v>
      </c>
      <c r="C53" t="s">
        <v>16</v>
      </c>
      <c r="D53" t="s">
        <v>534</v>
      </c>
      <c r="E53" t="s">
        <v>538</v>
      </c>
      <c r="F53" t="s">
        <v>539</v>
      </c>
      <c r="G53">
        <v>53.61</v>
      </c>
      <c r="H53">
        <v>33.909999999999997</v>
      </c>
      <c r="I53" t="s">
        <v>537</v>
      </c>
    </row>
    <row r="54" spans="1:9" x14ac:dyDescent="0.3">
      <c r="A54">
        <v>53</v>
      </c>
      <c r="B54" t="s">
        <v>124</v>
      </c>
      <c r="C54" t="s">
        <v>17</v>
      </c>
      <c r="D54" t="s">
        <v>534</v>
      </c>
      <c r="E54" t="s">
        <v>543</v>
      </c>
      <c r="F54" t="s">
        <v>545</v>
      </c>
      <c r="G54">
        <v>57.17</v>
      </c>
      <c r="H54">
        <v>38.979999999999997</v>
      </c>
      <c r="I54" t="s">
        <v>537</v>
      </c>
    </row>
    <row r="55" spans="1:9" x14ac:dyDescent="0.3">
      <c r="A55">
        <v>54</v>
      </c>
      <c r="B55" t="s">
        <v>125</v>
      </c>
      <c r="C55" t="s">
        <v>18</v>
      </c>
      <c r="D55" t="s">
        <v>534</v>
      </c>
      <c r="E55" t="s">
        <v>540</v>
      </c>
      <c r="F55" t="s">
        <v>544</v>
      </c>
      <c r="G55">
        <v>60.33</v>
      </c>
      <c r="H55">
        <v>40.33</v>
      </c>
      <c r="I55" t="s">
        <v>537</v>
      </c>
    </row>
    <row r="56" spans="1:9" x14ac:dyDescent="0.3">
      <c r="A56">
        <v>55</v>
      </c>
      <c r="B56" t="s">
        <v>126</v>
      </c>
      <c r="C56" t="s">
        <v>16</v>
      </c>
      <c r="D56" t="s">
        <v>534</v>
      </c>
      <c r="E56" t="s">
        <v>542</v>
      </c>
      <c r="F56" t="s">
        <v>545</v>
      </c>
      <c r="G56">
        <v>44.32</v>
      </c>
      <c r="H56">
        <v>25.68</v>
      </c>
      <c r="I56" t="s">
        <v>537</v>
      </c>
    </row>
    <row r="57" spans="1:9" x14ac:dyDescent="0.3">
      <c r="A57">
        <v>56</v>
      </c>
      <c r="B57" t="s">
        <v>127</v>
      </c>
      <c r="C57" t="s">
        <v>17</v>
      </c>
      <c r="D57" t="s">
        <v>534</v>
      </c>
      <c r="E57" t="s">
        <v>542</v>
      </c>
      <c r="F57" t="s">
        <v>545</v>
      </c>
      <c r="G57">
        <v>62.92</v>
      </c>
      <c r="H57">
        <v>42.57</v>
      </c>
      <c r="I57" t="s">
        <v>537</v>
      </c>
    </row>
    <row r="58" spans="1:9" x14ac:dyDescent="0.3">
      <c r="A58">
        <v>57</v>
      </c>
      <c r="B58" t="s">
        <v>128</v>
      </c>
      <c r="C58" t="s">
        <v>18</v>
      </c>
      <c r="D58" t="s">
        <v>534</v>
      </c>
      <c r="E58" t="s">
        <v>535</v>
      </c>
      <c r="F58" t="s">
        <v>541</v>
      </c>
      <c r="G58">
        <v>52.28</v>
      </c>
      <c r="H58">
        <v>22.3</v>
      </c>
      <c r="I58" t="s">
        <v>537</v>
      </c>
    </row>
    <row r="59" spans="1:9" x14ac:dyDescent="0.3">
      <c r="A59">
        <v>58</v>
      </c>
      <c r="B59" t="s">
        <v>129</v>
      </c>
      <c r="C59" t="s">
        <v>18</v>
      </c>
      <c r="D59" t="s">
        <v>534</v>
      </c>
      <c r="E59" t="s">
        <v>542</v>
      </c>
      <c r="F59" t="s">
        <v>539</v>
      </c>
      <c r="G59">
        <v>35.81</v>
      </c>
      <c r="H59">
        <v>16.43</v>
      </c>
      <c r="I59" t="s">
        <v>537</v>
      </c>
    </row>
    <row r="60" spans="1:9" x14ac:dyDescent="0.3">
      <c r="A60">
        <v>59</v>
      </c>
      <c r="B60" t="s">
        <v>130</v>
      </c>
      <c r="C60" t="s">
        <v>19</v>
      </c>
      <c r="D60" t="s">
        <v>534</v>
      </c>
      <c r="E60" t="s">
        <v>540</v>
      </c>
      <c r="F60" t="s">
        <v>536</v>
      </c>
      <c r="G60">
        <v>34.58</v>
      </c>
      <c r="H60">
        <v>14.3</v>
      </c>
      <c r="I60" t="s">
        <v>537</v>
      </c>
    </row>
    <row r="61" spans="1:9" x14ac:dyDescent="0.3">
      <c r="A61">
        <v>60</v>
      </c>
      <c r="B61" t="s">
        <v>30</v>
      </c>
      <c r="C61" t="s">
        <v>16</v>
      </c>
      <c r="D61" t="s">
        <v>534</v>
      </c>
      <c r="E61" t="s">
        <v>535</v>
      </c>
      <c r="F61" t="s">
        <v>541</v>
      </c>
      <c r="G61">
        <v>81.7</v>
      </c>
      <c r="H61">
        <v>40.65</v>
      </c>
      <c r="I61" t="s">
        <v>537</v>
      </c>
    </row>
    <row r="62" spans="1:9" x14ac:dyDescent="0.3">
      <c r="A62">
        <v>61</v>
      </c>
      <c r="B62" t="s">
        <v>131</v>
      </c>
      <c r="C62" t="s">
        <v>16</v>
      </c>
      <c r="D62" t="s">
        <v>534</v>
      </c>
      <c r="E62" t="s">
        <v>535</v>
      </c>
      <c r="F62" t="s">
        <v>539</v>
      </c>
      <c r="G62">
        <v>50.88</v>
      </c>
      <c r="H62">
        <v>26.28</v>
      </c>
      <c r="I62" t="s">
        <v>537</v>
      </c>
    </row>
    <row r="63" spans="1:9" x14ac:dyDescent="0.3">
      <c r="A63">
        <v>62</v>
      </c>
      <c r="B63" t="s">
        <v>132</v>
      </c>
      <c r="C63" t="s">
        <v>20</v>
      </c>
      <c r="D63" t="s">
        <v>534</v>
      </c>
      <c r="E63" t="s">
        <v>535</v>
      </c>
      <c r="F63" t="s">
        <v>539</v>
      </c>
      <c r="G63">
        <v>46.09</v>
      </c>
      <c r="H63">
        <v>22.19</v>
      </c>
      <c r="I63" t="s">
        <v>537</v>
      </c>
    </row>
    <row r="64" spans="1:9" x14ac:dyDescent="0.3">
      <c r="A64">
        <v>63</v>
      </c>
      <c r="B64" t="s">
        <v>133</v>
      </c>
      <c r="C64" t="s">
        <v>19</v>
      </c>
      <c r="D64" t="s">
        <v>534</v>
      </c>
      <c r="E64" t="s">
        <v>535</v>
      </c>
      <c r="F64" t="s">
        <v>539</v>
      </c>
      <c r="G64">
        <v>58.67</v>
      </c>
      <c r="H64">
        <v>38.049999999999997</v>
      </c>
      <c r="I64" t="s">
        <v>537</v>
      </c>
    </row>
    <row r="65" spans="1:9" x14ac:dyDescent="0.3">
      <c r="A65">
        <v>64</v>
      </c>
      <c r="B65" t="s">
        <v>134</v>
      </c>
      <c r="C65" t="s">
        <v>19</v>
      </c>
      <c r="D65" t="s">
        <v>534</v>
      </c>
      <c r="E65" t="s">
        <v>543</v>
      </c>
      <c r="F65" t="s">
        <v>541</v>
      </c>
      <c r="G65">
        <v>13.51</v>
      </c>
      <c r="H65">
        <v>6.85</v>
      </c>
      <c r="I65" t="s">
        <v>537</v>
      </c>
    </row>
    <row r="66" spans="1:9" x14ac:dyDescent="0.3">
      <c r="A66">
        <v>65</v>
      </c>
      <c r="B66" t="s">
        <v>135</v>
      </c>
      <c r="C66" t="s">
        <v>16</v>
      </c>
      <c r="D66" t="s">
        <v>534</v>
      </c>
      <c r="E66" t="s">
        <v>535</v>
      </c>
      <c r="F66" t="s">
        <v>541</v>
      </c>
      <c r="G66">
        <v>27.45</v>
      </c>
      <c r="H66">
        <v>13.29</v>
      </c>
      <c r="I66" t="s">
        <v>537</v>
      </c>
    </row>
    <row r="67" spans="1:9" x14ac:dyDescent="0.3">
      <c r="A67">
        <v>66</v>
      </c>
      <c r="B67" t="s">
        <v>136</v>
      </c>
      <c r="C67" t="s">
        <v>18</v>
      </c>
      <c r="D67" t="s">
        <v>534</v>
      </c>
      <c r="E67" t="s">
        <v>543</v>
      </c>
      <c r="F67" t="s">
        <v>536</v>
      </c>
      <c r="G67">
        <v>24.13</v>
      </c>
      <c r="H67">
        <v>13.58</v>
      </c>
      <c r="I67" t="s">
        <v>537</v>
      </c>
    </row>
    <row r="68" spans="1:9" x14ac:dyDescent="0.3">
      <c r="A68">
        <v>67</v>
      </c>
      <c r="B68" t="s">
        <v>137</v>
      </c>
      <c r="C68" t="s">
        <v>16</v>
      </c>
      <c r="D68" t="s">
        <v>534</v>
      </c>
      <c r="E68" t="s">
        <v>540</v>
      </c>
      <c r="F68" t="s">
        <v>545</v>
      </c>
      <c r="G68">
        <v>67.37</v>
      </c>
      <c r="H68">
        <v>29.8</v>
      </c>
      <c r="I68" t="s">
        <v>537</v>
      </c>
    </row>
    <row r="69" spans="1:9" x14ac:dyDescent="0.3">
      <c r="A69">
        <v>68</v>
      </c>
      <c r="B69" t="s">
        <v>138</v>
      </c>
      <c r="C69" t="s">
        <v>19</v>
      </c>
      <c r="D69" t="s">
        <v>534</v>
      </c>
      <c r="E69" t="s">
        <v>540</v>
      </c>
      <c r="F69" t="s">
        <v>541</v>
      </c>
      <c r="G69">
        <v>47.27</v>
      </c>
      <c r="H69">
        <v>30.28</v>
      </c>
      <c r="I69" t="s">
        <v>537</v>
      </c>
    </row>
    <row r="70" spans="1:9" x14ac:dyDescent="0.3">
      <c r="A70">
        <v>69</v>
      </c>
      <c r="B70" t="s">
        <v>139</v>
      </c>
      <c r="C70" t="s">
        <v>17</v>
      </c>
      <c r="D70" t="s">
        <v>534</v>
      </c>
      <c r="E70" t="s">
        <v>538</v>
      </c>
      <c r="F70">
        <v>38</v>
      </c>
      <c r="G70">
        <v>49.98</v>
      </c>
      <c r="H70">
        <v>21.11</v>
      </c>
      <c r="I70" t="s">
        <v>537</v>
      </c>
    </row>
    <row r="71" spans="1:9" x14ac:dyDescent="0.3">
      <c r="A71">
        <v>70</v>
      </c>
      <c r="B71" t="s">
        <v>140</v>
      </c>
      <c r="C71" t="s">
        <v>18</v>
      </c>
      <c r="D71" t="s">
        <v>534</v>
      </c>
      <c r="E71" t="s">
        <v>538</v>
      </c>
      <c r="F71" t="s">
        <v>544</v>
      </c>
      <c r="G71">
        <v>66.33</v>
      </c>
      <c r="H71">
        <v>46.17</v>
      </c>
      <c r="I71" t="s">
        <v>537</v>
      </c>
    </row>
    <row r="72" spans="1:9" x14ac:dyDescent="0.3">
      <c r="A72">
        <v>71</v>
      </c>
      <c r="B72" t="s">
        <v>31</v>
      </c>
      <c r="C72" t="s">
        <v>20</v>
      </c>
      <c r="D72" t="s">
        <v>534</v>
      </c>
      <c r="E72" t="s">
        <v>542</v>
      </c>
      <c r="F72" t="s">
        <v>539</v>
      </c>
      <c r="G72">
        <v>80.760000000000005</v>
      </c>
      <c r="H72">
        <v>51.01</v>
      </c>
      <c r="I72" t="s">
        <v>537</v>
      </c>
    </row>
    <row r="73" spans="1:9" x14ac:dyDescent="0.3">
      <c r="A73">
        <v>72</v>
      </c>
      <c r="B73" t="s">
        <v>141</v>
      </c>
      <c r="C73" t="s">
        <v>18</v>
      </c>
      <c r="D73" t="s">
        <v>534</v>
      </c>
      <c r="E73" t="s">
        <v>542</v>
      </c>
      <c r="F73" t="s">
        <v>541</v>
      </c>
      <c r="G73">
        <v>72.8</v>
      </c>
      <c r="H73">
        <v>33.46</v>
      </c>
      <c r="I73" t="s">
        <v>537</v>
      </c>
    </row>
    <row r="74" spans="1:9" x14ac:dyDescent="0.3">
      <c r="A74">
        <v>73</v>
      </c>
      <c r="B74" t="s">
        <v>142</v>
      </c>
      <c r="C74" t="s">
        <v>19</v>
      </c>
      <c r="D74" t="s">
        <v>534</v>
      </c>
      <c r="E74" t="s">
        <v>543</v>
      </c>
      <c r="F74" t="s">
        <v>545</v>
      </c>
      <c r="G74">
        <v>53.25</v>
      </c>
      <c r="H74">
        <v>21.39</v>
      </c>
      <c r="I74" t="s">
        <v>537</v>
      </c>
    </row>
    <row r="75" spans="1:9" x14ac:dyDescent="0.3">
      <c r="A75">
        <v>74</v>
      </c>
      <c r="B75" t="s">
        <v>143</v>
      </c>
      <c r="C75" t="s">
        <v>19</v>
      </c>
      <c r="D75" t="s">
        <v>534</v>
      </c>
      <c r="E75" t="s">
        <v>542</v>
      </c>
      <c r="F75" t="s">
        <v>545</v>
      </c>
      <c r="G75">
        <v>40.94</v>
      </c>
      <c r="H75">
        <v>26.39</v>
      </c>
      <c r="I75" t="s">
        <v>537</v>
      </c>
    </row>
    <row r="76" spans="1:9" x14ac:dyDescent="0.3">
      <c r="A76">
        <v>75</v>
      </c>
      <c r="B76" t="s">
        <v>144</v>
      </c>
      <c r="C76" t="s">
        <v>19</v>
      </c>
      <c r="D76" t="s">
        <v>534</v>
      </c>
      <c r="E76" t="s">
        <v>535</v>
      </c>
      <c r="F76" t="s">
        <v>541</v>
      </c>
      <c r="G76">
        <v>52.83</v>
      </c>
      <c r="H76">
        <v>32.33</v>
      </c>
      <c r="I76" t="s">
        <v>537</v>
      </c>
    </row>
    <row r="77" spans="1:9" x14ac:dyDescent="0.3">
      <c r="A77">
        <v>76</v>
      </c>
      <c r="B77" t="s">
        <v>145</v>
      </c>
      <c r="C77" t="s">
        <v>20</v>
      </c>
      <c r="D77" t="s">
        <v>534</v>
      </c>
      <c r="E77" t="s">
        <v>540</v>
      </c>
      <c r="F77" t="s">
        <v>544</v>
      </c>
      <c r="G77">
        <v>51.7</v>
      </c>
      <c r="H77">
        <v>31.99</v>
      </c>
      <c r="I77" t="s">
        <v>537</v>
      </c>
    </row>
    <row r="78" spans="1:9" x14ac:dyDescent="0.3">
      <c r="A78">
        <v>77</v>
      </c>
      <c r="B78" t="s">
        <v>146</v>
      </c>
      <c r="C78" t="s">
        <v>18</v>
      </c>
      <c r="D78" t="s">
        <v>534</v>
      </c>
      <c r="E78" t="s">
        <v>543</v>
      </c>
      <c r="F78" t="s">
        <v>545</v>
      </c>
      <c r="G78">
        <v>52.38</v>
      </c>
      <c r="H78">
        <v>33.07</v>
      </c>
      <c r="I78" t="s">
        <v>537</v>
      </c>
    </row>
    <row r="79" spans="1:9" x14ac:dyDescent="0.3">
      <c r="A79">
        <v>78</v>
      </c>
      <c r="B79" t="s">
        <v>147</v>
      </c>
      <c r="C79" t="s">
        <v>17</v>
      </c>
      <c r="D79" t="s">
        <v>534</v>
      </c>
      <c r="E79" t="s">
        <v>535</v>
      </c>
      <c r="F79">
        <v>35</v>
      </c>
      <c r="G79">
        <v>59.21</v>
      </c>
      <c r="H79">
        <v>25</v>
      </c>
      <c r="I79" t="s">
        <v>537</v>
      </c>
    </row>
    <row r="80" spans="1:9" x14ac:dyDescent="0.3">
      <c r="A80">
        <v>79</v>
      </c>
      <c r="B80" t="s">
        <v>148</v>
      </c>
      <c r="C80" t="s">
        <v>20</v>
      </c>
      <c r="D80" t="s">
        <v>534</v>
      </c>
      <c r="E80" t="s">
        <v>542</v>
      </c>
      <c r="F80" t="s">
        <v>544</v>
      </c>
      <c r="G80">
        <v>63.22</v>
      </c>
      <c r="H80">
        <v>32.090000000000003</v>
      </c>
      <c r="I80" t="s">
        <v>537</v>
      </c>
    </row>
    <row r="81" spans="1:9" x14ac:dyDescent="0.3">
      <c r="A81">
        <v>80</v>
      </c>
      <c r="B81" t="s">
        <v>149</v>
      </c>
      <c r="C81" t="s">
        <v>18</v>
      </c>
      <c r="D81" t="s">
        <v>534</v>
      </c>
      <c r="E81" t="s">
        <v>543</v>
      </c>
      <c r="F81" t="s">
        <v>536</v>
      </c>
      <c r="G81">
        <v>31.86</v>
      </c>
      <c r="H81">
        <v>13.85</v>
      </c>
      <c r="I81" t="s">
        <v>537</v>
      </c>
    </row>
    <row r="82" spans="1:9" x14ac:dyDescent="0.3">
      <c r="A82">
        <v>81</v>
      </c>
      <c r="B82" t="s">
        <v>150</v>
      </c>
      <c r="C82" t="s">
        <v>19</v>
      </c>
      <c r="D82" t="s">
        <v>534</v>
      </c>
      <c r="E82" t="s">
        <v>543</v>
      </c>
      <c r="F82" t="s">
        <v>539</v>
      </c>
      <c r="G82">
        <v>29.63</v>
      </c>
      <c r="H82">
        <v>19.52</v>
      </c>
      <c r="I82" t="s">
        <v>537</v>
      </c>
    </row>
    <row r="83" spans="1:9" x14ac:dyDescent="0.3">
      <c r="A83">
        <v>82</v>
      </c>
      <c r="B83" t="s">
        <v>151</v>
      </c>
      <c r="C83" t="s">
        <v>18</v>
      </c>
      <c r="D83" t="s">
        <v>534</v>
      </c>
      <c r="E83" t="s">
        <v>535</v>
      </c>
      <c r="F83" t="s">
        <v>536</v>
      </c>
      <c r="G83">
        <v>32.21</v>
      </c>
      <c r="H83">
        <v>18.91</v>
      </c>
      <c r="I83" t="s">
        <v>537</v>
      </c>
    </row>
    <row r="84" spans="1:9" x14ac:dyDescent="0.3">
      <c r="A84">
        <v>83</v>
      </c>
      <c r="B84" t="s">
        <v>152</v>
      </c>
      <c r="C84" t="s">
        <v>16</v>
      </c>
      <c r="D84" t="s">
        <v>534</v>
      </c>
      <c r="E84" t="s">
        <v>540</v>
      </c>
      <c r="F84" t="s">
        <v>545</v>
      </c>
      <c r="G84">
        <v>57.8</v>
      </c>
      <c r="H84">
        <v>28.86</v>
      </c>
      <c r="I84" t="s">
        <v>537</v>
      </c>
    </row>
    <row r="85" spans="1:9" x14ac:dyDescent="0.3">
      <c r="A85">
        <v>84</v>
      </c>
      <c r="B85" t="s">
        <v>153</v>
      </c>
      <c r="C85" t="s">
        <v>17</v>
      </c>
      <c r="D85" t="s">
        <v>534</v>
      </c>
      <c r="E85" t="s">
        <v>540</v>
      </c>
      <c r="F85">
        <v>38</v>
      </c>
      <c r="G85">
        <v>31.84</v>
      </c>
      <c r="H85">
        <v>13.34</v>
      </c>
      <c r="I85" t="s">
        <v>537</v>
      </c>
    </row>
    <row r="86" spans="1:9" x14ac:dyDescent="0.3">
      <c r="A86">
        <v>85</v>
      </c>
      <c r="B86" t="s">
        <v>154</v>
      </c>
      <c r="C86" t="s">
        <v>18</v>
      </c>
      <c r="D86" t="s">
        <v>534</v>
      </c>
      <c r="E86" t="s">
        <v>542</v>
      </c>
      <c r="F86" t="s">
        <v>545</v>
      </c>
      <c r="G86">
        <v>37.35</v>
      </c>
      <c r="H86">
        <v>18.420000000000002</v>
      </c>
      <c r="I86" t="s">
        <v>537</v>
      </c>
    </row>
    <row r="87" spans="1:9" x14ac:dyDescent="0.3">
      <c r="A87">
        <v>86</v>
      </c>
      <c r="B87" t="s">
        <v>155</v>
      </c>
      <c r="C87" t="s">
        <v>19</v>
      </c>
      <c r="D87" t="s">
        <v>534</v>
      </c>
      <c r="E87" t="s">
        <v>538</v>
      </c>
      <c r="F87" t="s">
        <v>539</v>
      </c>
      <c r="G87">
        <v>41.26</v>
      </c>
      <c r="H87">
        <v>20.53</v>
      </c>
      <c r="I87" t="s">
        <v>537</v>
      </c>
    </row>
    <row r="88" spans="1:9" x14ac:dyDescent="0.3">
      <c r="A88">
        <v>87</v>
      </c>
      <c r="B88" t="s">
        <v>156</v>
      </c>
      <c r="C88" t="s">
        <v>18</v>
      </c>
      <c r="D88" t="s">
        <v>534</v>
      </c>
      <c r="E88" t="s">
        <v>538</v>
      </c>
      <c r="F88" t="s">
        <v>541</v>
      </c>
      <c r="G88">
        <v>53.32</v>
      </c>
      <c r="H88">
        <v>33</v>
      </c>
      <c r="I88" t="s">
        <v>537</v>
      </c>
    </row>
    <row r="89" spans="1:9" x14ac:dyDescent="0.3">
      <c r="A89">
        <v>88</v>
      </c>
      <c r="B89" t="s">
        <v>157</v>
      </c>
      <c r="C89" t="s">
        <v>19</v>
      </c>
      <c r="D89" t="s">
        <v>534</v>
      </c>
      <c r="E89" t="s">
        <v>542</v>
      </c>
      <c r="F89" t="s">
        <v>544</v>
      </c>
      <c r="G89">
        <v>29.81</v>
      </c>
      <c r="H89">
        <v>17.63</v>
      </c>
      <c r="I89" t="s">
        <v>537</v>
      </c>
    </row>
    <row r="90" spans="1:9" x14ac:dyDescent="0.3">
      <c r="A90">
        <v>89</v>
      </c>
      <c r="B90" t="s">
        <v>158</v>
      </c>
      <c r="C90" t="s">
        <v>17</v>
      </c>
      <c r="D90" t="s">
        <v>534</v>
      </c>
      <c r="E90" t="s">
        <v>542</v>
      </c>
      <c r="F90">
        <v>36</v>
      </c>
      <c r="G90">
        <v>45.12</v>
      </c>
      <c r="H90">
        <v>30.06</v>
      </c>
      <c r="I90" t="s">
        <v>537</v>
      </c>
    </row>
    <row r="91" spans="1:9" x14ac:dyDescent="0.3">
      <c r="A91">
        <v>90</v>
      </c>
      <c r="B91" t="s">
        <v>159</v>
      </c>
      <c r="C91" t="s">
        <v>17</v>
      </c>
      <c r="D91" t="s">
        <v>534</v>
      </c>
      <c r="E91" t="s">
        <v>540</v>
      </c>
      <c r="F91">
        <v>40</v>
      </c>
      <c r="G91">
        <v>31.67</v>
      </c>
      <c r="H91">
        <v>17.149999999999999</v>
      </c>
      <c r="I91" t="s">
        <v>537</v>
      </c>
    </row>
    <row r="92" spans="1:9" x14ac:dyDescent="0.3">
      <c r="A92">
        <v>91</v>
      </c>
      <c r="B92" t="s">
        <v>160</v>
      </c>
      <c r="C92" t="s">
        <v>19</v>
      </c>
      <c r="D92" t="s">
        <v>534</v>
      </c>
      <c r="E92" t="s">
        <v>535</v>
      </c>
      <c r="F92" t="s">
        <v>545</v>
      </c>
      <c r="G92">
        <v>33.950000000000003</v>
      </c>
      <c r="H92">
        <v>14.8</v>
      </c>
      <c r="I92" t="s">
        <v>537</v>
      </c>
    </row>
    <row r="93" spans="1:9" x14ac:dyDescent="0.3">
      <c r="A93">
        <v>92</v>
      </c>
      <c r="B93" t="s">
        <v>161</v>
      </c>
      <c r="C93" t="s">
        <v>17</v>
      </c>
      <c r="D93" t="s">
        <v>534</v>
      </c>
      <c r="E93" t="s">
        <v>543</v>
      </c>
      <c r="F93" t="s">
        <v>545</v>
      </c>
      <c r="G93">
        <v>40.25</v>
      </c>
      <c r="H93">
        <v>24.71</v>
      </c>
      <c r="I93" t="s">
        <v>537</v>
      </c>
    </row>
    <row r="94" spans="1:9" x14ac:dyDescent="0.3">
      <c r="A94">
        <v>93</v>
      </c>
      <c r="B94" t="s">
        <v>162</v>
      </c>
      <c r="C94" t="s">
        <v>20</v>
      </c>
      <c r="D94" t="s">
        <v>534</v>
      </c>
      <c r="E94" t="s">
        <v>543</v>
      </c>
      <c r="F94" t="s">
        <v>541</v>
      </c>
      <c r="G94">
        <v>39.18</v>
      </c>
      <c r="H94">
        <v>24.61</v>
      </c>
      <c r="I94" t="s">
        <v>537</v>
      </c>
    </row>
    <row r="95" spans="1:9" x14ac:dyDescent="0.3">
      <c r="A95">
        <v>94</v>
      </c>
      <c r="B95" t="s">
        <v>163</v>
      </c>
      <c r="C95" t="s">
        <v>17</v>
      </c>
      <c r="D95" t="s">
        <v>534</v>
      </c>
      <c r="E95" t="s">
        <v>540</v>
      </c>
      <c r="F95">
        <v>38</v>
      </c>
      <c r="G95">
        <v>45.8</v>
      </c>
      <c r="H95">
        <v>26.03</v>
      </c>
      <c r="I95" t="s">
        <v>537</v>
      </c>
    </row>
    <row r="96" spans="1:9" x14ac:dyDescent="0.3">
      <c r="A96">
        <v>95</v>
      </c>
      <c r="B96" t="s">
        <v>164</v>
      </c>
      <c r="C96" t="s">
        <v>19</v>
      </c>
      <c r="D96" t="s">
        <v>534</v>
      </c>
      <c r="E96" t="s">
        <v>542</v>
      </c>
      <c r="F96" t="s">
        <v>544</v>
      </c>
      <c r="G96">
        <v>31.15</v>
      </c>
      <c r="H96">
        <v>19.66</v>
      </c>
      <c r="I96" t="s">
        <v>537</v>
      </c>
    </row>
    <row r="97" spans="1:9" x14ac:dyDescent="0.3">
      <c r="A97">
        <v>96</v>
      </c>
      <c r="B97" t="s">
        <v>165</v>
      </c>
      <c r="C97" t="s">
        <v>16</v>
      </c>
      <c r="D97" t="s">
        <v>534</v>
      </c>
      <c r="E97" t="s">
        <v>543</v>
      </c>
      <c r="F97" t="s">
        <v>539</v>
      </c>
      <c r="G97">
        <v>39.03</v>
      </c>
      <c r="H97">
        <v>21.39</v>
      </c>
      <c r="I97" t="s">
        <v>537</v>
      </c>
    </row>
    <row r="98" spans="1:9" x14ac:dyDescent="0.3">
      <c r="A98">
        <v>97</v>
      </c>
      <c r="B98" t="s">
        <v>32</v>
      </c>
      <c r="C98" t="s">
        <v>17</v>
      </c>
      <c r="D98" t="s">
        <v>534</v>
      </c>
      <c r="E98" t="s">
        <v>542</v>
      </c>
      <c r="F98">
        <v>36</v>
      </c>
      <c r="G98">
        <v>55.27</v>
      </c>
      <c r="H98">
        <v>30.78</v>
      </c>
      <c r="I98" t="s">
        <v>537</v>
      </c>
    </row>
    <row r="99" spans="1:9" x14ac:dyDescent="0.3">
      <c r="A99">
        <v>98</v>
      </c>
      <c r="B99" t="s">
        <v>166</v>
      </c>
      <c r="C99" t="s">
        <v>17</v>
      </c>
      <c r="D99" t="s">
        <v>534</v>
      </c>
      <c r="E99" t="s">
        <v>543</v>
      </c>
      <c r="F99">
        <v>38</v>
      </c>
      <c r="G99">
        <v>78.52</v>
      </c>
      <c r="H99">
        <v>41.48</v>
      </c>
      <c r="I99" t="s">
        <v>537</v>
      </c>
    </row>
    <row r="100" spans="1:9" x14ac:dyDescent="0.3">
      <c r="A100">
        <v>99</v>
      </c>
      <c r="B100" t="s">
        <v>167</v>
      </c>
      <c r="C100" t="s">
        <v>16</v>
      </c>
      <c r="D100" t="s">
        <v>534</v>
      </c>
      <c r="E100" t="s">
        <v>538</v>
      </c>
      <c r="F100" t="s">
        <v>545</v>
      </c>
      <c r="G100">
        <v>59.78</v>
      </c>
      <c r="H100">
        <v>24.37</v>
      </c>
      <c r="I100" t="s">
        <v>537</v>
      </c>
    </row>
    <row r="101" spans="1:9" x14ac:dyDescent="0.3">
      <c r="A101">
        <v>100</v>
      </c>
      <c r="B101" t="s">
        <v>168</v>
      </c>
      <c r="C101" t="s">
        <v>18</v>
      </c>
      <c r="D101" t="s">
        <v>534</v>
      </c>
      <c r="E101" t="s">
        <v>538</v>
      </c>
      <c r="F101" t="s">
        <v>539</v>
      </c>
      <c r="G101">
        <v>56.44</v>
      </c>
      <c r="H101">
        <v>24.4</v>
      </c>
      <c r="I101" t="s">
        <v>537</v>
      </c>
    </row>
    <row r="102" spans="1:9" x14ac:dyDescent="0.3">
      <c r="A102">
        <v>101</v>
      </c>
      <c r="B102" t="s">
        <v>169</v>
      </c>
      <c r="C102" t="s">
        <v>16</v>
      </c>
      <c r="D102" t="s">
        <v>534</v>
      </c>
      <c r="E102" t="s">
        <v>535</v>
      </c>
      <c r="F102" t="s">
        <v>544</v>
      </c>
      <c r="G102">
        <v>58.11</v>
      </c>
      <c r="H102">
        <v>23.79</v>
      </c>
      <c r="I102" t="s">
        <v>537</v>
      </c>
    </row>
    <row r="103" spans="1:9" x14ac:dyDescent="0.3">
      <c r="A103">
        <v>102</v>
      </c>
      <c r="B103" t="s">
        <v>170</v>
      </c>
      <c r="C103" t="s">
        <v>16</v>
      </c>
      <c r="D103" t="s">
        <v>534</v>
      </c>
      <c r="E103" t="s">
        <v>535</v>
      </c>
      <c r="F103" t="s">
        <v>536</v>
      </c>
      <c r="G103">
        <v>43.06</v>
      </c>
      <c r="H103">
        <v>25.45</v>
      </c>
      <c r="I103" t="s">
        <v>537</v>
      </c>
    </row>
    <row r="104" spans="1:9" x14ac:dyDescent="0.3">
      <c r="A104">
        <v>103</v>
      </c>
      <c r="B104" t="s">
        <v>171</v>
      </c>
      <c r="C104" t="s">
        <v>16</v>
      </c>
      <c r="D104" t="s">
        <v>534</v>
      </c>
      <c r="E104" t="s">
        <v>540</v>
      </c>
      <c r="F104" t="s">
        <v>536</v>
      </c>
      <c r="G104">
        <v>57</v>
      </c>
      <c r="H104">
        <v>28.18</v>
      </c>
      <c r="I104" t="s">
        <v>537</v>
      </c>
    </row>
    <row r="105" spans="1:9" x14ac:dyDescent="0.3">
      <c r="A105">
        <v>104</v>
      </c>
      <c r="B105" t="s">
        <v>172</v>
      </c>
      <c r="C105" t="s">
        <v>17</v>
      </c>
      <c r="D105" t="s">
        <v>534</v>
      </c>
      <c r="E105" t="s">
        <v>535</v>
      </c>
      <c r="F105">
        <v>36</v>
      </c>
      <c r="G105">
        <v>73.78</v>
      </c>
      <c r="H105">
        <v>40.770000000000003</v>
      </c>
      <c r="I105" t="s">
        <v>537</v>
      </c>
    </row>
    <row r="106" spans="1:9" x14ac:dyDescent="0.3">
      <c r="A106">
        <v>105</v>
      </c>
      <c r="B106" t="s">
        <v>173</v>
      </c>
      <c r="C106" t="s">
        <v>16</v>
      </c>
      <c r="D106" t="s">
        <v>534</v>
      </c>
      <c r="E106" t="s">
        <v>543</v>
      </c>
      <c r="F106" t="s">
        <v>536</v>
      </c>
      <c r="G106">
        <v>36.9</v>
      </c>
      <c r="H106">
        <v>24.81</v>
      </c>
      <c r="I106" t="s">
        <v>537</v>
      </c>
    </row>
    <row r="107" spans="1:9" x14ac:dyDescent="0.3">
      <c r="A107">
        <v>106</v>
      </c>
      <c r="B107" t="s">
        <v>174</v>
      </c>
      <c r="C107" t="s">
        <v>16</v>
      </c>
      <c r="D107" t="s">
        <v>534</v>
      </c>
      <c r="E107" t="s">
        <v>540</v>
      </c>
      <c r="F107" t="s">
        <v>545</v>
      </c>
      <c r="G107">
        <v>40.75</v>
      </c>
      <c r="H107">
        <v>19.350000000000001</v>
      </c>
      <c r="I107" t="s">
        <v>537</v>
      </c>
    </row>
    <row r="108" spans="1:9" x14ac:dyDescent="0.3">
      <c r="A108">
        <v>107</v>
      </c>
      <c r="B108" t="s">
        <v>175</v>
      </c>
      <c r="C108" t="s">
        <v>17</v>
      </c>
      <c r="D108" t="s">
        <v>534</v>
      </c>
      <c r="E108" t="s">
        <v>542</v>
      </c>
      <c r="F108">
        <v>36</v>
      </c>
      <c r="G108">
        <v>55.06</v>
      </c>
      <c r="H108">
        <v>28.8</v>
      </c>
      <c r="I108" t="s">
        <v>537</v>
      </c>
    </row>
    <row r="109" spans="1:9" x14ac:dyDescent="0.3">
      <c r="A109">
        <v>108</v>
      </c>
      <c r="B109" t="s">
        <v>176</v>
      </c>
      <c r="C109" t="s">
        <v>20</v>
      </c>
      <c r="D109" t="s">
        <v>534</v>
      </c>
      <c r="E109" t="s">
        <v>535</v>
      </c>
      <c r="F109" t="s">
        <v>536</v>
      </c>
      <c r="G109">
        <v>48.19</v>
      </c>
      <c r="H109">
        <v>30.2</v>
      </c>
      <c r="I109" t="s">
        <v>537</v>
      </c>
    </row>
    <row r="110" spans="1:9" x14ac:dyDescent="0.3">
      <c r="A110">
        <v>109</v>
      </c>
      <c r="B110" t="s">
        <v>177</v>
      </c>
      <c r="C110" t="s">
        <v>18</v>
      </c>
      <c r="D110" t="s">
        <v>534</v>
      </c>
      <c r="E110" t="s">
        <v>542</v>
      </c>
      <c r="F110" t="s">
        <v>541</v>
      </c>
      <c r="G110">
        <v>45.27</v>
      </c>
      <c r="H110">
        <v>21.22</v>
      </c>
      <c r="I110" t="s">
        <v>537</v>
      </c>
    </row>
    <row r="111" spans="1:9" x14ac:dyDescent="0.3">
      <c r="A111">
        <v>110</v>
      </c>
      <c r="B111" t="s">
        <v>178</v>
      </c>
      <c r="C111" t="s">
        <v>18</v>
      </c>
      <c r="D111" t="s">
        <v>534</v>
      </c>
      <c r="E111" t="s">
        <v>540</v>
      </c>
      <c r="F111" t="s">
        <v>541</v>
      </c>
      <c r="G111">
        <v>58.7</v>
      </c>
      <c r="H111">
        <v>24.84</v>
      </c>
      <c r="I111" t="s">
        <v>537</v>
      </c>
    </row>
    <row r="112" spans="1:9" x14ac:dyDescent="0.3">
      <c r="A112">
        <v>111</v>
      </c>
      <c r="B112" t="s">
        <v>179</v>
      </c>
      <c r="C112" t="s">
        <v>20</v>
      </c>
      <c r="D112" t="s">
        <v>534</v>
      </c>
      <c r="E112" t="s">
        <v>538</v>
      </c>
      <c r="F112" t="s">
        <v>545</v>
      </c>
      <c r="G112">
        <v>60.36</v>
      </c>
      <c r="H112">
        <v>29.39</v>
      </c>
      <c r="I112" t="s">
        <v>537</v>
      </c>
    </row>
    <row r="113" spans="1:9" x14ac:dyDescent="0.3">
      <c r="A113">
        <v>112</v>
      </c>
      <c r="B113" t="s">
        <v>180</v>
      </c>
      <c r="C113" t="s">
        <v>19</v>
      </c>
      <c r="D113" t="s">
        <v>534</v>
      </c>
      <c r="E113" t="s">
        <v>543</v>
      </c>
      <c r="F113" t="s">
        <v>545</v>
      </c>
      <c r="G113">
        <v>61.2</v>
      </c>
      <c r="H113">
        <v>27.44</v>
      </c>
      <c r="I113" t="s">
        <v>537</v>
      </c>
    </row>
    <row r="114" spans="1:9" x14ac:dyDescent="0.3">
      <c r="A114">
        <v>113</v>
      </c>
      <c r="B114" t="s">
        <v>181</v>
      </c>
      <c r="C114" t="s">
        <v>18</v>
      </c>
      <c r="D114" t="s">
        <v>534</v>
      </c>
      <c r="E114" t="s">
        <v>538</v>
      </c>
      <c r="F114" t="s">
        <v>545</v>
      </c>
      <c r="G114">
        <v>39.18</v>
      </c>
      <c r="H114">
        <v>26.6</v>
      </c>
      <c r="I114" t="s">
        <v>537</v>
      </c>
    </row>
    <row r="115" spans="1:9" x14ac:dyDescent="0.3">
      <c r="A115">
        <v>114</v>
      </c>
      <c r="B115" t="s">
        <v>182</v>
      </c>
      <c r="C115" t="s">
        <v>17</v>
      </c>
      <c r="D115" t="s">
        <v>534</v>
      </c>
      <c r="E115" t="s">
        <v>538</v>
      </c>
      <c r="F115">
        <v>36</v>
      </c>
      <c r="G115">
        <v>21.53</v>
      </c>
      <c r="H115">
        <v>13.83</v>
      </c>
      <c r="I115" t="s">
        <v>537</v>
      </c>
    </row>
    <row r="116" spans="1:9" x14ac:dyDescent="0.3">
      <c r="A116">
        <v>115</v>
      </c>
      <c r="B116" t="s">
        <v>183</v>
      </c>
      <c r="C116" t="s">
        <v>19</v>
      </c>
      <c r="D116" t="s">
        <v>534</v>
      </c>
      <c r="E116" t="s">
        <v>535</v>
      </c>
      <c r="F116" t="s">
        <v>539</v>
      </c>
      <c r="G116">
        <v>62.27</v>
      </c>
      <c r="H116">
        <v>36.74</v>
      </c>
      <c r="I116" t="s">
        <v>537</v>
      </c>
    </row>
    <row r="117" spans="1:9" x14ac:dyDescent="0.3">
      <c r="A117">
        <v>116</v>
      </c>
      <c r="B117" t="s">
        <v>184</v>
      </c>
      <c r="C117" t="s">
        <v>20</v>
      </c>
      <c r="D117" t="s">
        <v>534</v>
      </c>
      <c r="E117" t="s">
        <v>535</v>
      </c>
      <c r="F117" t="s">
        <v>541</v>
      </c>
      <c r="G117">
        <v>74.81</v>
      </c>
      <c r="H117">
        <v>49.48</v>
      </c>
      <c r="I117" t="s">
        <v>537</v>
      </c>
    </row>
    <row r="118" spans="1:9" x14ac:dyDescent="0.3">
      <c r="A118">
        <v>117</v>
      </c>
      <c r="B118" t="s">
        <v>185</v>
      </c>
      <c r="C118" t="s">
        <v>18</v>
      </c>
      <c r="D118" t="s">
        <v>534</v>
      </c>
      <c r="E118" t="s">
        <v>542</v>
      </c>
      <c r="F118" t="s">
        <v>541</v>
      </c>
      <c r="G118">
        <v>56.06</v>
      </c>
      <c r="H118">
        <v>35.94</v>
      </c>
      <c r="I118" t="s">
        <v>537</v>
      </c>
    </row>
    <row r="119" spans="1:9" x14ac:dyDescent="0.3">
      <c r="A119">
        <v>118</v>
      </c>
      <c r="B119" t="s">
        <v>186</v>
      </c>
      <c r="C119" t="s">
        <v>16</v>
      </c>
      <c r="D119" t="s">
        <v>534</v>
      </c>
      <c r="E119" t="s">
        <v>540</v>
      </c>
      <c r="F119" t="s">
        <v>541</v>
      </c>
      <c r="G119">
        <v>46.99</v>
      </c>
      <c r="H119">
        <v>21.43</v>
      </c>
      <c r="I119" t="s">
        <v>537</v>
      </c>
    </row>
    <row r="120" spans="1:9" x14ac:dyDescent="0.3">
      <c r="A120">
        <v>119</v>
      </c>
      <c r="B120" t="s">
        <v>187</v>
      </c>
      <c r="C120" t="s">
        <v>18</v>
      </c>
      <c r="D120" t="s">
        <v>534</v>
      </c>
      <c r="E120" t="s">
        <v>540</v>
      </c>
      <c r="F120" t="s">
        <v>545</v>
      </c>
      <c r="G120">
        <v>27.34</v>
      </c>
      <c r="H120">
        <v>18.260000000000002</v>
      </c>
      <c r="I120" t="s">
        <v>537</v>
      </c>
    </row>
    <row r="121" spans="1:9" x14ac:dyDescent="0.3">
      <c r="A121">
        <v>120</v>
      </c>
      <c r="B121" t="s">
        <v>188</v>
      </c>
      <c r="C121" t="s">
        <v>19</v>
      </c>
      <c r="D121" t="s">
        <v>534</v>
      </c>
      <c r="E121" t="s">
        <v>535</v>
      </c>
      <c r="F121" t="s">
        <v>536</v>
      </c>
      <c r="G121">
        <v>25.7</v>
      </c>
      <c r="H121">
        <v>14.44</v>
      </c>
      <c r="I121" t="s">
        <v>537</v>
      </c>
    </row>
    <row r="122" spans="1:9" x14ac:dyDescent="0.3">
      <c r="A122">
        <v>121</v>
      </c>
      <c r="B122" t="s">
        <v>189</v>
      </c>
      <c r="C122" t="s">
        <v>17</v>
      </c>
      <c r="D122" t="s">
        <v>534</v>
      </c>
      <c r="E122" t="s">
        <v>543</v>
      </c>
      <c r="F122">
        <v>35</v>
      </c>
      <c r="G122">
        <v>47.91</v>
      </c>
      <c r="H122">
        <v>30.77</v>
      </c>
      <c r="I122" t="s">
        <v>537</v>
      </c>
    </row>
    <row r="123" spans="1:9" x14ac:dyDescent="0.3">
      <c r="A123">
        <v>122</v>
      </c>
      <c r="B123" t="s">
        <v>190</v>
      </c>
      <c r="C123" t="s">
        <v>20</v>
      </c>
      <c r="D123" t="s">
        <v>534</v>
      </c>
      <c r="E123" t="s">
        <v>535</v>
      </c>
      <c r="F123" t="s">
        <v>539</v>
      </c>
      <c r="G123">
        <v>24.8</v>
      </c>
      <c r="H123">
        <v>16.59</v>
      </c>
      <c r="I123" t="s">
        <v>537</v>
      </c>
    </row>
    <row r="124" spans="1:9" x14ac:dyDescent="0.3">
      <c r="A124">
        <v>123</v>
      </c>
      <c r="B124" t="s">
        <v>191</v>
      </c>
      <c r="C124" t="s">
        <v>19</v>
      </c>
      <c r="D124" t="s">
        <v>534</v>
      </c>
      <c r="E124" t="s">
        <v>538</v>
      </c>
      <c r="F124" t="s">
        <v>536</v>
      </c>
      <c r="G124">
        <v>61.51</v>
      </c>
      <c r="H124">
        <v>30.47</v>
      </c>
      <c r="I124" t="s">
        <v>537</v>
      </c>
    </row>
    <row r="125" spans="1:9" x14ac:dyDescent="0.3">
      <c r="A125">
        <v>124</v>
      </c>
      <c r="B125" t="s">
        <v>192</v>
      </c>
      <c r="C125" t="s">
        <v>19</v>
      </c>
      <c r="D125" t="s">
        <v>534</v>
      </c>
      <c r="E125" t="s">
        <v>538</v>
      </c>
      <c r="F125" t="s">
        <v>536</v>
      </c>
      <c r="G125">
        <v>55.04</v>
      </c>
      <c r="H125">
        <v>23.83</v>
      </c>
      <c r="I125" t="s">
        <v>537</v>
      </c>
    </row>
    <row r="126" spans="1:9" x14ac:dyDescent="0.3">
      <c r="A126">
        <v>125</v>
      </c>
      <c r="B126" t="s">
        <v>193</v>
      </c>
      <c r="C126" t="s">
        <v>17</v>
      </c>
      <c r="D126" t="s">
        <v>534</v>
      </c>
      <c r="E126" t="s">
        <v>535</v>
      </c>
      <c r="F126">
        <v>35</v>
      </c>
      <c r="G126">
        <v>61.27</v>
      </c>
      <c r="H126">
        <v>28.7</v>
      </c>
      <c r="I126" t="s">
        <v>537</v>
      </c>
    </row>
    <row r="127" spans="1:9" x14ac:dyDescent="0.3">
      <c r="A127">
        <v>126</v>
      </c>
      <c r="B127" t="s">
        <v>194</v>
      </c>
      <c r="C127" t="s">
        <v>17</v>
      </c>
      <c r="D127" t="s">
        <v>534</v>
      </c>
      <c r="E127" t="s">
        <v>535</v>
      </c>
      <c r="F127" t="s">
        <v>545</v>
      </c>
      <c r="G127">
        <v>55.03</v>
      </c>
      <c r="H127">
        <v>29.06</v>
      </c>
      <c r="I127" t="s">
        <v>537</v>
      </c>
    </row>
    <row r="128" spans="1:9" x14ac:dyDescent="0.3">
      <c r="A128">
        <v>127</v>
      </c>
      <c r="B128" t="s">
        <v>195</v>
      </c>
      <c r="C128" t="s">
        <v>20</v>
      </c>
      <c r="D128" t="s">
        <v>534</v>
      </c>
      <c r="E128" t="s">
        <v>542</v>
      </c>
      <c r="F128" t="s">
        <v>539</v>
      </c>
      <c r="G128">
        <v>53.67</v>
      </c>
      <c r="H128">
        <v>34.64</v>
      </c>
      <c r="I128" t="s">
        <v>537</v>
      </c>
    </row>
    <row r="129" spans="1:9" x14ac:dyDescent="0.3">
      <c r="A129">
        <v>128</v>
      </c>
      <c r="B129" t="s">
        <v>33</v>
      </c>
      <c r="C129" t="s">
        <v>16</v>
      </c>
      <c r="D129" t="s">
        <v>534</v>
      </c>
      <c r="E129" t="s">
        <v>535</v>
      </c>
      <c r="F129" t="s">
        <v>539</v>
      </c>
      <c r="G129">
        <v>44.9</v>
      </c>
      <c r="H129">
        <v>29.55</v>
      </c>
      <c r="I129" t="s">
        <v>537</v>
      </c>
    </row>
    <row r="130" spans="1:9" x14ac:dyDescent="0.3">
      <c r="A130">
        <v>129</v>
      </c>
      <c r="B130" t="s">
        <v>196</v>
      </c>
      <c r="C130" t="s">
        <v>20</v>
      </c>
      <c r="D130" t="s">
        <v>534</v>
      </c>
      <c r="E130" t="s">
        <v>542</v>
      </c>
      <c r="F130" t="s">
        <v>545</v>
      </c>
      <c r="G130">
        <v>60.68</v>
      </c>
      <c r="H130">
        <v>24.4</v>
      </c>
      <c r="I130" t="s">
        <v>537</v>
      </c>
    </row>
    <row r="131" spans="1:9" x14ac:dyDescent="0.3">
      <c r="A131">
        <v>130</v>
      </c>
      <c r="B131" t="s">
        <v>197</v>
      </c>
      <c r="C131" t="s">
        <v>19</v>
      </c>
      <c r="D131" t="s">
        <v>534</v>
      </c>
      <c r="E131" t="s">
        <v>543</v>
      </c>
      <c r="F131" t="s">
        <v>544</v>
      </c>
      <c r="G131">
        <v>49.12</v>
      </c>
      <c r="H131">
        <v>27.17</v>
      </c>
      <c r="I131" t="s">
        <v>537</v>
      </c>
    </row>
    <row r="132" spans="1:9" x14ac:dyDescent="0.3">
      <c r="A132">
        <v>131</v>
      </c>
      <c r="B132" t="s">
        <v>198</v>
      </c>
      <c r="C132" t="s">
        <v>19</v>
      </c>
      <c r="D132" t="s">
        <v>534</v>
      </c>
      <c r="E132" t="s">
        <v>543</v>
      </c>
      <c r="F132" t="s">
        <v>536</v>
      </c>
      <c r="G132">
        <v>66.63</v>
      </c>
      <c r="H132">
        <v>35</v>
      </c>
      <c r="I132" t="s">
        <v>537</v>
      </c>
    </row>
    <row r="133" spans="1:9" x14ac:dyDescent="0.3">
      <c r="A133">
        <v>132</v>
      </c>
      <c r="B133" t="s">
        <v>199</v>
      </c>
      <c r="C133" t="s">
        <v>17</v>
      </c>
      <c r="D133" t="s">
        <v>534</v>
      </c>
      <c r="E133" t="s">
        <v>543</v>
      </c>
      <c r="F133" t="s">
        <v>545</v>
      </c>
      <c r="G133">
        <v>46.9</v>
      </c>
      <c r="H133">
        <v>21.89</v>
      </c>
      <c r="I133" t="s">
        <v>537</v>
      </c>
    </row>
    <row r="134" spans="1:9" x14ac:dyDescent="0.3">
      <c r="A134">
        <v>133</v>
      </c>
      <c r="B134" t="s">
        <v>200</v>
      </c>
      <c r="C134" t="s">
        <v>16</v>
      </c>
      <c r="D134" t="s">
        <v>534</v>
      </c>
      <c r="E134" t="s">
        <v>540</v>
      </c>
      <c r="F134" t="s">
        <v>539</v>
      </c>
      <c r="G134">
        <v>53.05</v>
      </c>
      <c r="H134">
        <v>23.13</v>
      </c>
      <c r="I134" t="s">
        <v>537</v>
      </c>
    </row>
    <row r="135" spans="1:9" x14ac:dyDescent="0.3">
      <c r="A135">
        <v>134</v>
      </c>
      <c r="B135" t="s">
        <v>201</v>
      </c>
      <c r="C135" t="s">
        <v>20</v>
      </c>
      <c r="D135" t="s">
        <v>534</v>
      </c>
      <c r="E135" t="s">
        <v>540</v>
      </c>
      <c r="F135" t="s">
        <v>539</v>
      </c>
      <c r="G135">
        <v>61.75</v>
      </c>
      <c r="H135">
        <v>30.95</v>
      </c>
      <c r="I135" t="s">
        <v>537</v>
      </c>
    </row>
    <row r="136" spans="1:9" x14ac:dyDescent="0.3">
      <c r="A136">
        <v>135</v>
      </c>
      <c r="B136" t="s">
        <v>34</v>
      </c>
      <c r="C136" t="s">
        <v>17</v>
      </c>
      <c r="D136" t="s">
        <v>534</v>
      </c>
      <c r="E136" t="s">
        <v>540</v>
      </c>
      <c r="F136">
        <v>40</v>
      </c>
      <c r="G136">
        <v>42.47</v>
      </c>
      <c r="H136">
        <v>29</v>
      </c>
      <c r="I136" t="s">
        <v>537</v>
      </c>
    </row>
    <row r="137" spans="1:9" x14ac:dyDescent="0.3">
      <c r="A137">
        <v>136</v>
      </c>
      <c r="B137" t="s">
        <v>202</v>
      </c>
      <c r="C137" t="s">
        <v>20</v>
      </c>
      <c r="D137" t="s">
        <v>534</v>
      </c>
      <c r="E137" t="s">
        <v>542</v>
      </c>
      <c r="F137" t="s">
        <v>545</v>
      </c>
      <c r="G137">
        <v>46.8</v>
      </c>
      <c r="H137">
        <v>23.26</v>
      </c>
      <c r="I137" t="s">
        <v>537</v>
      </c>
    </row>
    <row r="138" spans="1:9" x14ac:dyDescent="0.3">
      <c r="A138">
        <v>137</v>
      </c>
      <c r="B138" t="s">
        <v>35</v>
      </c>
      <c r="C138" t="s">
        <v>20</v>
      </c>
      <c r="D138" t="s">
        <v>534</v>
      </c>
      <c r="E138" t="s">
        <v>538</v>
      </c>
      <c r="F138" t="s">
        <v>539</v>
      </c>
      <c r="G138">
        <v>46.52</v>
      </c>
      <c r="H138">
        <v>25.85</v>
      </c>
      <c r="I138" t="s">
        <v>537</v>
      </c>
    </row>
    <row r="139" spans="1:9" x14ac:dyDescent="0.3">
      <c r="A139">
        <v>138</v>
      </c>
      <c r="B139" t="s">
        <v>203</v>
      </c>
      <c r="C139" t="s">
        <v>17</v>
      </c>
      <c r="D139" t="s">
        <v>534</v>
      </c>
      <c r="E139" t="s">
        <v>538</v>
      </c>
      <c r="F139">
        <v>36</v>
      </c>
      <c r="G139">
        <v>49.21</v>
      </c>
      <c r="H139">
        <v>30.06</v>
      </c>
      <c r="I139" t="s">
        <v>537</v>
      </c>
    </row>
    <row r="140" spans="1:9" x14ac:dyDescent="0.3">
      <c r="A140">
        <v>139</v>
      </c>
      <c r="B140" t="s">
        <v>204</v>
      </c>
      <c r="C140" t="s">
        <v>16</v>
      </c>
      <c r="D140" t="s">
        <v>534</v>
      </c>
      <c r="E140" t="s">
        <v>535</v>
      </c>
      <c r="F140" t="s">
        <v>544</v>
      </c>
      <c r="G140">
        <v>33.590000000000003</v>
      </c>
      <c r="H140">
        <v>17.100000000000001</v>
      </c>
      <c r="I140" t="s">
        <v>537</v>
      </c>
    </row>
    <row r="141" spans="1:9" x14ac:dyDescent="0.3">
      <c r="A141">
        <v>140</v>
      </c>
      <c r="B141" t="s">
        <v>36</v>
      </c>
      <c r="C141" t="s">
        <v>18</v>
      </c>
      <c r="D141" t="s">
        <v>534</v>
      </c>
      <c r="E141" t="s">
        <v>542</v>
      </c>
      <c r="F141" t="s">
        <v>539</v>
      </c>
      <c r="G141">
        <v>52.08</v>
      </c>
      <c r="H141">
        <v>36.020000000000003</v>
      </c>
      <c r="I141" t="s">
        <v>537</v>
      </c>
    </row>
    <row r="142" spans="1:9" x14ac:dyDescent="0.3">
      <c r="A142">
        <v>141</v>
      </c>
      <c r="B142" t="s">
        <v>205</v>
      </c>
      <c r="C142" t="s">
        <v>18</v>
      </c>
      <c r="D142" t="s">
        <v>534</v>
      </c>
      <c r="E142" t="s">
        <v>540</v>
      </c>
      <c r="F142" t="s">
        <v>545</v>
      </c>
      <c r="G142">
        <v>39.159999999999997</v>
      </c>
      <c r="H142">
        <v>26.97</v>
      </c>
      <c r="I142" t="s">
        <v>537</v>
      </c>
    </row>
    <row r="143" spans="1:9" x14ac:dyDescent="0.3">
      <c r="A143">
        <v>142</v>
      </c>
      <c r="B143" t="s">
        <v>206</v>
      </c>
      <c r="C143" t="s">
        <v>18</v>
      </c>
      <c r="D143" t="s">
        <v>534</v>
      </c>
      <c r="E143" t="s">
        <v>538</v>
      </c>
      <c r="F143" t="s">
        <v>536</v>
      </c>
      <c r="G143">
        <v>67.290000000000006</v>
      </c>
      <c r="H143">
        <v>32</v>
      </c>
      <c r="I143" t="s">
        <v>537</v>
      </c>
    </row>
    <row r="144" spans="1:9" x14ac:dyDescent="0.3">
      <c r="A144">
        <v>143</v>
      </c>
      <c r="B144" t="s">
        <v>207</v>
      </c>
      <c r="C144" t="s">
        <v>19</v>
      </c>
      <c r="D144" t="s">
        <v>534</v>
      </c>
      <c r="E144" t="s">
        <v>535</v>
      </c>
      <c r="F144" t="s">
        <v>536</v>
      </c>
      <c r="G144">
        <v>39.75</v>
      </c>
      <c r="H144">
        <v>21.83</v>
      </c>
      <c r="I144" t="s">
        <v>537</v>
      </c>
    </row>
    <row r="145" spans="1:9" x14ac:dyDescent="0.3">
      <c r="A145">
        <v>144</v>
      </c>
      <c r="B145" t="s">
        <v>208</v>
      </c>
      <c r="C145" t="s">
        <v>20</v>
      </c>
      <c r="D145" t="s">
        <v>534</v>
      </c>
      <c r="E145" t="s">
        <v>540</v>
      </c>
      <c r="F145" t="s">
        <v>544</v>
      </c>
      <c r="G145">
        <v>41.84</v>
      </c>
      <c r="H145">
        <v>20.51</v>
      </c>
      <c r="I145" t="s">
        <v>537</v>
      </c>
    </row>
    <row r="146" spans="1:9" x14ac:dyDescent="0.3">
      <c r="A146">
        <v>145</v>
      </c>
      <c r="B146" t="s">
        <v>209</v>
      </c>
      <c r="C146" t="s">
        <v>17</v>
      </c>
      <c r="D146" t="s">
        <v>534</v>
      </c>
      <c r="E146" t="s">
        <v>543</v>
      </c>
      <c r="F146">
        <v>40</v>
      </c>
      <c r="G146">
        <v>58.25</v>
      </c>
      <c r="H146">
        <v>28.28</v>
      </c>
      <c r="I146" t="s">
        <v>537</v>
      </c>
    </row>
    <row r="147" spans="1:9" x14ac:dyDescent="0.3">
      <c r="A147">
        <v>146</v>
      </c>
      <c r="B147" t="s">
        <v>210</v>
      </c>
      <c r="C147" t="s">
        <v>17</v>
      </c>
      <c r="D147" t="s">
        <v>534</v>
      </c>
      <c r="E147" t="s">
        <v>538</v>
      </c>
      <c r="F147">
        <v>36</v>
      </c>
      <c r="G147">
        <v>81.06</v>
      </c>
      <c r="H147">
        <v>33.32</v>
      </c>
      <c r="I147" t="s">
        <v>537</v>
      </c>
    </row>
    <row r="148" spans="1:9" x14ac:dyDescent="0.3">
      <c r="A148">
        <v>147</v>
      </c>
      <c r="B148" t="s">
        <v>211</v>
      </c>
      <c r="C148" t="s">
        <v>17</v>
      </c>
      <c r="D148" t="s">
        <v>534</v>
      </c>
      <c r="E148" t="s">
        <v>543</v>
      </c>
      <c r="F148">
        <v>35</v>
      </c>
      <c r="G148">
        <v>52.91</v>
      </c>
      <c r="H148">
        <v>30.84</v>
      </c>
      <c r="I148" t="s">
        <v>537</v>
      </c>
    </row>
    <row r="149" spans="1:9" x14ac:dyDescent="0.3">
      <c r="A149">
        <v>148</v>
      </c>
      <c r="B149" t="s">
        <v>212</v>
      </c>
      <c r="C149" t="s">
        <v>16</v>
      </c>
      <c r="D149" t="s">
        <v>534</v>
      </c>
      <c r="E149" t="s">
        <v>540</v>
      </c>
      <c r="F149" t="s">
        <v>536</v>
      </c>
      <c r="G149">
        <v>36.69</v>
      </c>
      <c r="H149">
        <v>20.21</v>
      </c>
      <c r="I149" t="s">
        <v>537</v>
      </c>
    </row>
    <row r="150" spans="1:9" x14ac:dyDescent="0.3">
      <c r="A150">
        <v>149</v>
      </c>
      <c r="B150" t="s">
        <v>213</v>
      </c>
      <c r="C150" t="s">
        <v>20</v>
      </c>
      <c r="D150" t="s">
        <v>534</v>
      </c>
      <c r="E150" t="s">
        <v>535</v>
      </c>
      <c r="F150" t="s">
        <v>544</v>
      </c>
      <c r="G150">
        <v>42.24</v>
      </c>
      <c r="H150">
        <v>17.55</v>
      </c>
      <c r="I150" t="s">
        <v>537</v>
      </c>
    </row>
    <row r="151" spans="1:9" x14ac:dyDescent="0.3">
      <c r="A151">
        <v>150</v>
      </c>
      <c r="B151" t="s">
        <v>37</v>
      </c>
      <c r="C151" t="s">
        <v>16</v>
      </c>
      <c r="D151" t="s">
        <v>534</v>
      </c>
      <c r="E151" t="s">
        <v>535</v>
      </c>
      <c r="F151" t="s">
        <v>545</v>
      </c>
      <c r="G151">
        <v>50.04</v>
      </c>
      <c r="H151">
        <v>24.2</v>
      </c>
      <c r="I151" t="s">
        <v>537</v>
      </c>
    </row>
    <row r="152" spans="1:9" x14ac:dyDescent="0.3">
      <c r="A152">
        <v>151</v>
      </c>
      <c r="B152" t="s">
        <v>214</v>
      </c>
      <c r="C152" t="s">
        <v>20</v>
      </c>
      <c r="D152" t="s">
        <v>534</v>
      </c>
      <c r="E152" t="s">
        <v>538</v>
      </c>
      <c r="F152" t="s">
        <v>544</v>
      </c>
      <c r="G152">
        <v>36.47</v>
      </c>
      <c r="H152">
        <v>24.53</v>
      </c>
      <c r="I152" t="s">
        <v>537</v>
      </c>
    </row>
    <row r="153" spans="1:9" x14ac:dyDescent="0.3">
      <c r="A153">
        <v>152</v>
      </c>
      <c r="B153" t="s">
        <v>215</v>
      </c>
      <c r="C153" t="s">
        <v>19</v>
      </c>
      <c r="D153" t="s">
        <v>534</v>
      </c>
      <c r="E153" t="s">
        <v>543</v>
      </c>
      <c r="F153" t="s">
        <v>545</v>
      </c>
      <c r="G153">
        <v>61.7</v>
      </c>
      <c r="H153">
        <v>29.11</v>
      </c>
      <c r="I153" t="s">
        <v>537</v>
      </c>
    </row>
    <row r="154" spans="1:9" x14ac:dyDescent="0.3">
      <c r="A154">
        <v>153</v>
      </c>
      <c r="B154" t="s">
        <v>216</v>
      </c>
      <c r="C154" t="s">
        <v>17</v>
      </c>
      <c r="D154" t="s">
        <v>534</v>
      </c>
      <c r="E154" t="s">
        <v>542</v>
      </c>
      <c r="F154">
        <v>38</v>
      </c>
      <c r="G154">
        <v>52.36</v>
      </c>
      <c r="H154">
        <v>23.22</v>
      </c>
      <c r="I154" t="s">
        <v>537</v>
      </c>
    </row>
    <row r="155" spans="1:9" x14ac:dyDescent="0.3">
      <c r="A155">
        <v>154</v>
      </c>
      <c r="B155" t="s">
        <v>217</v>
      </c>
      <c r="C155" t="s">
        <v>19</v>
      </c>
      <c r="D155" t="s">
        <v>534</v>
      </c>
      <c r="E155" t="s">
        <v>542</v>
      </c>
      <c r="F155" t="s">
        <v>539</v>
      </c>
      <c r="G155">
        <v>53.74</v>
      </c>
      <c r="H155">
        <v>29.39</v>
      </c>
      <c r="I155" t="s">
        <v>537</v>
      </c>
    </row>
    <row r="156" spans="1:9" x14ac:dyDescent="0.3">
      <c r="A156">
        <v>155</v>
      </c>
      <c r="B156" t="s">
        <v>218</v>
      </c>
      <c r="C156" t="s">
        <v>18</v>
      </c>
      <c r="D156" t="s">
        <v>534</v>
      </c>
      <c r="E156" t="s">
        <v>542</v>
      </c>
      <c r="F156" t="s">
        <v>545</v>
      </c>
      <c r="G156">
        <v>46.07</v>
      </c>
      <c r="H156">
        <v>32.049999999999997</v>
      </c>
      <c r="I156" t="s">
        <v>537</v>
      </c>
    </row>
    <row r="157" spans="1:9" x14ac:dyDescent="0.3">
      <c r="A157">
        <v>156</v>
      </c>
      <c r="B157" t="s">
        <v>219</v>
      </c>
      <c r="C157" t="s">
        <v>18</v>
      </c>
      <c r="D157" t="s">
        <v>534</v>
      </c>
      <c r="E157" t="s">
        <v>543</v>
      </c>
      <c r="F157" t="s">
        <v>536</v>
      </c>
      <c r="G157">
        <v>55.52</v>
      </c>
      <c r="H157">
        <v>26.24</v>
      </c>
      <c r="I157" t="s">
        <v>537</v>
      </c>
    </row>
    <row r="158" spans="1:9" x14ac:dyDescent="0.3">
      <c r="A158">
        <v>157</v>
      </c>
      <c r="B158" t="s">
        <v>38</v>
      </c>
      <c r="C158" t="s">
        <v>19</v>
      </c>
      <c r="D158" t="s">
        <v>534</v>
      </c>
      <c r="E158" t="s">
        <v>543</v>
      </c>
      <c r="F158" t="s">
        <v>541</v>
      </c>
      <c r="G158">
        <v>41.56</v>
      </c>
      <c r="H158">
        <v>25</v>
      </c>
      <c r="I158" t="s">
        <v>537</v>
      </c>
    </row>
    <row r="159" spans="1:9" x14ac:dyDescent="0.3">
      <c r="A159">
        <v>158</v>
      </c>
      <c r="B159" t="s">
        <v>220</v>
      </c>
      <c r="C159" t="s">
        <v>18</v>
      </c>
      <c r="D159" t="s">
        <v>534</v>
      </c>
      <c r="E159" t="s">
        <v>543</v>
      </c>
      <c r="F159" t="s">
        <v>539</v>
      </c>
      <c r="G159">
        <v>45.15</v>
      </c>
      <c r="H159">
        <v>28.38</v>
      </c>
      <c r="I159" t="s">
        <v>537</v>
      </c>
    </row>
    <row r="160" spans="1:9" x14ac:dyDescent="0.3">
      <c r="A160">
        <v>159</v>
      </c>
      <c r="B160" t="s">
        <v>221</v>
      </c>
      <c r="C160" t="s">
        <v>20</v>
      </c>
      <c r="D160" t="s">
        <v>534</v>
      </c>
      <c r="E160" t="s">
        <v>540</v>
      </c>
      <c r="F160" t="s">
        <v>536</v>
      </c>
      <c r="G160">
        <v>33.590000000000003</v>
      </c>
      <c r="H160">
        <v>15.83</v>
      </c>
      <c r="I160" t="s">
        <v>537</v>
      </c>
    </row>
    <row r="161" spans="1:9" x14ac:dyDescent="0.3">
      <c r="A161">
        <v>160</v>
      </c>
      <c r="B161" t="s">
        <v>222</v>
      </c>
      <c r="C161" t="s">
        <v>19</v>
      </c>
      <c r="D161" t="s">
        <v>534</v>
      </c>
      <c r="E161" t="s">
        <v>535</v>
      </c>
      <c r="F161" t="s">
        <v>544</v>
      </c>
      <c r="G161">
        <v>59.38</v>
      </c>
      <c r="H161">
        <v>36.72</v>
      </c>
      <c r="I161" t="s">
        <v>537</v>
      </c>
    </row>
    <row r="162" spans="1:9" x14ac:dyDescent="0.3">
      <c r="A162">
        <v>161</v>
      </c>
      <c r="B162" t="s">
        <v>223</v>
      </c>
      <c r="C162" t="s">
        <v>16</v>
      </c>
      <c r="D162" t="s">
        <v>534</v>
      </c>
      <c r="E162" t="s">
        <v>538</v>
      </c>
      <c r="F162" t="s">
        <v>536</v>
      </c>
      <c r="G162">
        <v>45.75</v>
      </c>
      <c r="H162">
        <v>23.35</v>
      </c>
      <c r="I162" t="s">
        <v>537</v>
      </c>
    </row>
    <row r="163" spans="1:9" x14ac:dyDescent="0.3">
      <c r="A163">
        <v>162</v>
      </c>
      <c r="B163" t="s">
        <v>224</v>
      </c>
      <c r="C163" t="s">
        <v>19</v>
      </c>
      <c r="D163" t="s">
        <v>534</v>
      </c>
      <c r="E163" t="s">
        <v>535</v>
      </c>
      <c r="F163" t="s">
        <v>544</v>
      </c>
      <c r="G163">
        <v>66.5</v>
      </c>
      <c r="H163">
        <v>39.21</v>
      </c>
      <c r="I163" t="s">
        <v>537</v>
      </c>
    </row>
    <row r="164" spans="1:9" x14ac:dyDescent="0.3">
      <c r="A164">
        <v>163</v>
      </c>
      <c r="B164" t="s">
        <v>225</v>
      </c>
      <c r="C164" t="s">
        <v>19</v>
      </c>
      <c r="D164" t="s">
        <v>534</v>
      </c>
      <c r="E164" t="s">
        <v>540</v>
      </c>
      <c r="F164" t="s">
        <v>545</v>
      </c>
      <c r="G164">
        <v>76.959999999999994</v>
      </c>
      <c r="H164">
        <v>45.41</v>
      </c>
      <c r="I164" t="s">
        <v>537</v>
      </c>
    </row>
    <row r="165" spans="1:9" x14ac:dyDescent="0.3">
      <c r="A165">
        <v>164</v>
      </c>
      <c r="B165" t="s">
        <v>226</v>
      </c>
      <c r="C165" t="s">
        <v>18</v>
      </c>
      <c r="D165" t="s">
        <v>534</v>
      </c>
      <c r="E165" t="s">
        <v>540</v>
      </c>
      <c r="F165" t="s">
        <v>541</v>
      </c>
      <c r="G165">
        <v>22.96</v>
      </c>
      <c r="H165">
        <v>12.87</v>
      </c>
      <c r="I165" t="s">
        <v>537</v>
      </c>
    </row>
    <row r="166" spans="1:9" x14ac:dyDescent="0.3">
      <c r="A166">
        <v>165</v>
      </c>
      <c r="B166" t="s">
        <v>227</v>
      </c>
      <c r="C166" t="s">
        <v>17</v>
      </c>
      <c r="D166" t="s">
        <v>534</v>
      </c>
      <c r="E166" t="s">
        <v>535</v>
      </c>
      <c r="F166">
        <v>40</v>
      </c>
      <c r="G166">
        <v>42.67</v>
      </c>
      <c r="H166">
        <v>18.22</v>
      </c>
      <c r="I166" t="s">
        <v>537</v>
      </c>
    </row>
    <row r="167" spans="1:9" x14ac:dyDescent="0.3">
      <c r="A167">
        <v>166</v>
      </c>
      <c r="B167" t="s">
        <v>228</v>
      </c>
      <c r="C167" t="s">
        <v>17</v>
      </c>
      <c r="D167" t="s">
        <v>534</v>
      </c>
      <c r="E167" t="s">
        <v>543</v>
      </c>
      <c r="F167">
        <v>40</v>
      </c>
      <c r="G167">
        <v>65.260000000000005</v>
      </c>
      <c r="H167">
        <v>42.46</v>
      </c>
      <c r="I167" t="s">
        <v>537</v>
      </c>
    </row>
    <row r="168" spans="1:9" x14ac:dyDescent="0.3">
      <c r="A168">
        <v>167</v>
      </c>
      <c r="B168" t="s">
        <v>229</v>
      </c>
      <c r="C168" t="s">
        <v>17</v>
      </c>
      <c r="D168" t="s">
        <v>534</v>
      </c>
      <c r="E168" t="s">
        <v>540</v>
      </c>
      <c r="F168">
        <v>36</v>
      </c>
      <c r="G168">
        <v>70.55</v>
      </c>
      <c r="H168">
        <v>35.01</v>
      </c>
      <c r="I168" t="s">
        <v>537</v>
      </c>
    </row>
    <row r="169" spans="1:9" x14ac:dyDescent="0.3">
      <c r="A169">
        <v>168</v>
      </c>
      <c r="B169" t="s">
        <v>230</v>
      </c>
      <c r="C169" t="s">
        <v>16</v>
      </c>
      <c r="D169" t="s">
        <v>534</v>
      </c>
      <c r="E169" t="s">
        <v>542</v>
      </c>
      <c r="F169" t="s">
        <v>541</v>
      </c>
      <c r="G169">
        <v>54.74</v>
      </c>
      <c r="H169">
        <v>24.96</v>
      </c>
      <c r="I169" t="s">
        <v>537</v>
      </c>
    </row>
    <row r="170" spans="1:9" x14ac:dyDescent="0.3">
      <c r="A170">
        <v>169</v>
      </c>
      <c r="B170" t="s">
        <v>231</v>
      </c>
      <c r="C170" t="s">
        <v>19</v>
      </c>
      <c r="D170" t="s">
        <v>534</v>
      </c>
      <c r="E170" t="s">
        <v>542</v>
      </c>
      <c r="F170" t="s">
        <v>539</v>
      </c>
      <c r="G170">
        <v>32.94</v>
      </c>
      <c r="H170">
        <v>13.58</v>
      </c>
      <c r="I170" t="s">
        <v>537</v>
      </c>
    </row>
    <row r="171" spans="1:9" x14ac:dyDescent="0.3">
      <c r="A171">
        <v>170</v>
      </c>
      <c r="B171" t="s">
        <v>232</v>
      </c>
      <c r="C171" t="s">
        <v>18</v>
      </c>
      <c r="D171" t="s">
        <v>534</v>
      </c>
      <c r="E171" t="s">
        <v>540</v>
      </c>
      <c r="F171" t="s">
        <v>539</v>
      </c>
      <c r="G171">
        <v>51.27</v>
      </c>
      <c r="H171">
        <v>29.6</v>
      </c>
      <c r="I171" t="s">
        <v>537</v>
      </c>
    </row>
    <row r="172" spans="1:9" x14ac:dyDescent="0.3">
      <c r="A172">
        <v>171</v>
      </c>
      <c r="B172" t="s">
        <v>39</v>
      </c>
      <c r="C172" t="s">
        <v>18</v>
      </c>
      <c r="D172" t="s">
        <v>534</v>
      </c>
      <c r="E172" t="s">
        <v>543</v>
      </c>
      <c r="F172" t="s">
        <v>536</v>
      </c>
      <c r="G172">
        <v>30.26</v>
      </c>
      <c r="H172">
        <v>18.25</v>
      </c>
      <c r="I172" t="s">
        <v>537</v>
      </c>
    </row>
    <row r="173" spans="1:9" x14ac:dyDescent="0.3">
      <c r="A173">
        <v>172</v>
      </c>
      <c r="B173" t="s">
        <v>233</v>
      </c>
      <c r="C173" t="s">
        <v>17</v>
      </c>
      <c r="D173" t="s">
        <v>534</v>
      </c>
      <c r="E173" t="s">
        <v>538</v>
      </c>
      <c r="F173">
        <v>40</v>
      </c>
      <c r="G173">
        <v>41.7</v>
      </c>
      <c r="H173">
        <v>16.89</v>
      </c>
      <c r="I173" t="s">
        <v>537</v>
      </c>
    </row>
    <row r="174" spans="1:9" x14ac:dyDescent="0.3">
      <c r="A174">
        <v>173</v>
      </c>
      <c r="B174" t="s">
        <v>234</v>
      </c>
      <c r="C174" t="s">
        <v>18</v>
      </c>
      <c r="D174" t="s">
        <v>534</v>
      </c>
      <c r="E174" t="s">
        <v>538</v>
      </c>
      <c r="F174" t="s">
        <v>544</v>
      </c>
      <c r="G174">
        <v>49.74</v>
      </c>
      <c r="H174">
        <v>27.54</v>
      </c>
      <c r="I174" t="s">
        <v>537</v>
      </c>
    </row>
    <row r="175" spans="1:9" x14ac:dyDescent="0.3">
      <c r="A175">
        <v>174</v>
      </c>
      <c r="B175" t="s">
        <v>235</v>
      </c>
      <c r="C175" t="s">
        <v>19</v>
      </c>
      <c r="D175" t="s">
        <v>534</v>
      </c>
      <c r="E175" t="s">
        <v>542</v>
      </c>
      <c r="F175" t="s">
        <v>539</v>
      </c>
      <c r="G175">
        <v>26.41</v>
      </c>
      <c r="H175">
        <v>12.36</v>
      </c>
      <c r="I175" t="s">
        <v>537</v>
      </c>
    </row>
    <row r="176" spans="1:9" x14ac:dyDescent="0.3">
      <c r="A176">
        <v>175</v>
      </c>
      <c r="B176" t="s">
        <v>40</v>
      </c>
      <c r="C176" t="s">
        <v>16</v>
      </c>
      <c r="D176" t="s">
        <v>534</v>
      </c>
      <c r="E176" t="s">
        <v>543</v>
      </c>
      <c r="F176" t="s">
        <v>545</v>
      </c>
      <c r="G176">
        <v>49.16</v>
      </c>
      <c r="H176">
        <v>29.18</v>
      </c>
      <c r="I176" t="s">
        <v>537</v>
      </c>
    </row>
    <row r="177" spans="1:9" x14ac:dyDescent="0.3">
      <c r="A177">
        <v>176</v>
      </c>
      <c r="B177" t="s">
        <v>41</v>
      </c>
      <c r="C177" t="s">
        <v>18</v>
      </c>
      <c r="D177" t="s">
        <v>534</v>
      </c>
      <c r="E177" t="s">
        <v>538</v>
      </c>
      <c r="F177" t="s">
        <v>536</v>
      </c>
      <c r="G177">
        <v>27.94</v>
      </c>
      <c r="H177">
        <v>12.64</v>
      </c>
      <c r="I177" t="s">
        <v>537</v>
      </c>
    </row>
    <row r="178" spans="1:9" x14ac:dyDescent="0.3">
      <c r="A178">
        <v>177</v>
      </c>
      <c r="B178" t="s">
        <v>236</v>
      </c>
      <c r="C178" t="s">
        <v>19</v>
      </c>
      <c r="D178" t="s">
        <v>534</v>
      </c>
      <c r="E178" t="s">
        <v>535</v>
      </c>
      <c r="F178" t="s">
        <v>536</v>
      </c>
      <c r="G178">
        <v>42.66</v>
      </c>
      <c r="H178">
        <v>25.91</v>
      </c>
      <c r="I178" t="s">
        <v>537</v>
      </c>
    </row>
    <row r="179" spans="1:9" x14ac:dyDescent="0.3">
      <c r="A179">
        <v>178</v>
      </c>
      <c r="B179" t="s">
        <v>237</v>
      </c>
      <c r="C179" t="s">
        <v>20</v>
      </c>
      <c r="D179" t="s">
        <v>534</v>
      </c>
      <c r="E179" t="s">
        <v>543</v>
      </c>
      <c r="F179" t="s">
        <v>545</v>
      </c>
      <c r="G179">
        <v>39.340000000000003</v>
      </c>
      <c r="H179">
        <v>20.3</v>
      </c>
      <c r="I179" t="s">
        <v>537</v>
      </c>
    </row>
    <row r="180" spans="1:9" x14ac:dyDescent="0.3">
      <c r="A180">
        <v>179</v>
      </c>
      <c r="B180" t="s">
        <v>238</v>
      </c>
      <c r="C180" t="s">
        <v>16</v>
      </c>
      <c r="D180" t="s">
        <v>534</v>
      </c>
      <c r="E180" t="s">
        <v>540</v>
      </c>
      <c r="F180" t="s">
        <v>545</v>
      </c>
      <c r="G180">
        <v>44.59</v>
      </c>
      <c r="H180">
        <v>30.37</v>
      </c>
      <c r="I180" t="s">
        <v>537</v>
      </c>
    </row>
    <row r="181" spans="1:9" x14ac:dyDescent="0.3">
      <c r="A181">
        <v>180</v>
      </c>
      <c r="B181" t="s">
        <v>42</v>
      </c>
      <c r="C181" t="s">
        <v>17</v>
      </c>
      <c r="D181" t="s">
        <v>534</v>
      </c>
      <c r="E181" t="s">
        <v>540</v>
      </c>
      <c r="F181">
        <v>40</v>
      </c>
      <c r="G181">
        <v>38.81</v>
      </c>
      <c r="H181">
        <v>17.13</v>
      </c>
      <c r="I181" t="s">
        <v>537</v>
      </c>
    </row>
    <row r="182" spans="1:9" x14ac:dyDescent="0.3">
      <c r="A182">
        <v>181</v>
      </c>
      <c r="B182" t="s">
        <v>239</v>
      </c>
      <c r="C182" t="s">
        <v>17</v>
      </c>
      <c r="D182" t="s">
        <v>534</v>
      </c>
      <c r="E182" t="s">
        <v>543</v>
      </c>
      <c r="F182">
        <v>35</v>
      </c>
      <c r="G182">
        <v>52.18</v>
      </c>
      <c r="H182">
        <v>26.21</v>
      </c>
      <c r="I182" t="s">
        <v>537</v>
      </c>
    </row>
    <row r="183" spans="1:9" x14ac:dyDescent="0.3">
      <c r="A183">
        <v>182</v>
      </c>
      <c r="B183" t="s">
        <v>240</v>
      </c>
      <c r="C183" t="s">
        <v>19</v>
      </c>
      <c r="D183" t="s">
        <v>534</v>
      </c>
      <c r="E183" t="s">
        <v>542</v>
      </c>
      <c r="F183" t="s">
        <v>536</v>
      </c>
      <c r="G183">
        <v>78.63</v>
      </c>
      <c r="H183">
        <v>34.130000000000003</v>
      </c>
      <c r="I183" t="s">
        <v>537</v>
      </c>
    </row>
    <row r="184" spans="1:9" x14ac:dyDescent="0.3">
      <c r="A184">
        <v>183</v>
      </c>
      <c r="B184" t="s">
        <v>241</v>
      </c>
      <c r="C184" t="s">
        <v>19</v>
      </c>
      <c r="D184" t="s">
        <v>534</v>
      </c>
      <c r="E184" t="s">
        <v>538</v>
      </c>
      <c r="F184" t="s">
        <v>544</v>
      </c>
      <c r="G184">
        <v>47.87</v>
      </c>
      <c r="H184">
        <v>32.43</v>
      </c>
      <c r="I184" t="s">
        <v>537</v>
      </c>
    </row>
    <row r="185" spans="1:9" x14ac:dyDescent="0.3">
      <c r="A185">
        <v>184</v>
      </c>
      <c r="B185" t="s">
        <v>242</v>
      </c>
      <c r="C185" t="s">
        <v>20</v>
      </c>
      <c r="D185" t="s">
        <v>534</v>
      </c>
      <c r="E185" t="s">
        <v>535</v>
      </c>
      <c r="F185" t="s">
        <v>544</v>
      </c>
      <c r="G185">
        <v>44.08</v>
      </c>
      <c r="H185">
        <v>29.23</v>
      </c>
      <c r="I185" t="s">
        <v>537</v>
      </c>
    </row>
    <row r="186" spans="1:9" x14ac:dyDescent="0.3">
      <c r="A186">
        <v>185</v>
      </c>
      <c r="B186" t="s">
        <v>243</v>
      </c>
      <c r="C186" t="s">
        <v>20</v>
      </c>
      <c r="D186" t="s">
        <v>534</v>
      </c>
      <c r="E186" t="s">
        <v>535</v>
      </c>
      <c r="F186" t="s">
        <v>544</v>
      </c>
      <c r="G186">
        <v>47.73</v>
      </c>
      <c r="H186">
        <v>22.79</v>
      </c>
      <c r="I186" t="s">
        <v>537</v>
      </c>
    </row>
    <row r="187" spans="1:9" x14ac:dyDescent="0.3">
      <c r="A187">
        <v>186</v>
      </c>
      <c r="B187" t="s">
        <v>244</v>
      </c>
      <c r="C187" t="s">
        <v>17</v>
      </c>
      <c r="D187" t="s">
        <v>534</v>
      </c>
      <c r="E187" t="s">
        <v>535</v>
      </c>
      <c r="F187">
        <v>35</v>
      </c>
      <c r="G187">
        <v>59.35</v>
      </c>
      <c r="H187">
        <v>35.49</v>
      </c>
      <c r="I187" t="s">
        <v>537</v>
      </c>
    </row>
    <row r="188" spans="1:9" x14ac:dyDescent="0.3">
      <c r="A188">
        <v>187</v>
      </c>
      <c r="B188" t="s">
        <v>245</v>
      </c>
      <c r="C188" t="s">
        <v>20</v>
      </c>
      <c r="D188" t="s">
        <v>534</v>
      </c>
      <c r="E188" t="s">
        <v>540</v>
      </c>
      <c r="F188" t="s">
        <v>541</v>
      </c>
      <c r="G188">
        <v>30.19</v>
      </c>
      <c r="H188">
        <v>19.48</v>
      </c>
      <c r="I188" t="s">
        <v>537</v>
      </c>
    </row>
    <row r="189" spans="1:9" x14ac:dyDescent="0.3">
      <c r="A189">
        <v>188</v>
      </c>
      <c r="B189" t="s">
        <v>246</v>
      </c>
      <c r="C189" t="s">
        <v>17</v>
      </c>
      <c r="D189" t="s">
        <v>534</v>
      </c>
      <c r="E189" t="s">
        <v>535</v>
      </c>
      <c r="F189">
        <v>38</v>
      </c>
      <c r="G189">
        <v>55.01</v>
      </c>
      <c r="H189">
        <v>31.17</v>
      </c>
      <c r="I189" t="s">
        <v>537</v>
      </c>
    </row>
    <row r="190" spans="1:9" x14ac:dyDescent="0.3">
      <c r="A190">
        <v>189</v>
      </c>
      <c r="B190" t="s">
        <v>247</v>
      </c>
      <c r="C190" t="s">
        <v>19</v>
      </c>
      <c r="D190" t="s">
        <v>534</v>
      </c>
      <c r="E190" t="s">
        <v>540</v>
      </c>
      <c r="F190" t="s">
        <v>545</v>
      </c>
      <c r="G190">
        <v>48.12</v>
      </c>
      <c r="H190">
        <v>26.89</v>
      </c>
      <c r="I190" t="s">
        <v>537</v>
      </c>
    </row>
    <row r="191" spans="1:9" x14ac:dyDescent="0.3">
      <c r="A191">
        <v>190</v>
      </c>
      <c r="B191" t="s">
        <v>248</v>
      </c>
      <c r="C191" t="s">
        <v>18</v>
      </c>
      <c r="D191" t="s">
        <v>534</v>
      </c>
      <c r="E191" t="s">
        <v>542</v>
      </c>
      <c r="F191" t="s">
        <v>545</v>
      </c>
      <c r="G191">
        <v>49.41</v>
      </c>
      <c r="H191">
        <v>23.35</v>
      </c>
      <c r="I191" t="s">
        <v>537</v>
      </c>
    </row>
    <row r="192" spans="1:9" x14ac:dyDescent="0.3">
      <c r="A192">
        <v>191</v>
      </c>
      <c r="B192" t="s">
        <v>249</v>
      </c>
      <c r="C192" t="s">
        <v>18</v>
      </c>
      <c r="D192" t="s">
        <v>534</v>
      </c>
      <c r="E192" t="s">
        <v>540</v>
      </c>
      <c r="F192" t="s">
        <v>545</v>
      </c>
      <c r="G192">
        <v>60.52</v>
      </c>
      <c r="H192">
        <v>25.9</v>
      </c>
      <c r="I192" t="s">
        <v>537</v>
      </c>
    </row>
    <row r="193" spans="1:9" x14ac:dyDescent="0.3">
      <c r="A193">
        <v>192</v>
      </c>
      <c r="B193" t="s">
        <v>250</v>
      </c>
      <c r="C193" t="s">
        <v>18</v>
      </c>
      <c r="D193" t="s">
        <v>534</v>
      </c>
      <c r="E193" t="s">
        <v>535</v>
      </c>
      <c r="F193" t="s">
        <v>544</v>
      </c>
      <c r="G193">
        <v>62.48</v>
      </c>
      <c r="H193">
        <v>41.81</v>
      </c>
      <c r="I193" t="s">
        <v>537</v>
      </c>
    </row>
    <row r="194" spans="1:9" x14ac:dyDescent="0.3">
      <c r="A194">
        <v>193</v>
      </c>
      <c r="B194" t="s">
        <v>251</v>
      </c>
      <c r="C194" t="s">
        <v>16</v>
      </c>
      <c r="D194" t="s">
        <v>534</v>
      </c>
      <c r="E194" t="s">
        <v>540</v>
      </c>
      <c r="F194" t="s">
        <v>539</v>
      </c>
      <c r="G194">
        <v>50.52</v>
      </c>
      <c r="H194">
        <v>33.85</v>
      </c>
      <c r="I194" t="s">
        <v>537</v>
      </c>
    </row>
    <row r="195" spans="1:9" x14ac:dyDescent="0.3">
      <c r="A195">
        <v>194</v>
      </c>
      <c r="B195" t="s">
        <v>252</v>
      </c>
      <c r="C195" t="s">
        <v>19</v>
      </c>
      <c r="D195" t="s">
        <v>534</v>
      </c>
      <c r="E195" t="s">
        <v>538</v>
      </c>
      <c r="F195" t="s">
        <v>541</v>
      </c>
      <c r="G195">
        <v>64.11</v>
      </c>
      <c r="H195">
        <v>37.82</v>
      </c>
      <c r="I195" t="s">
        <v>537</v>
      </c>
    </row>
    <row r="196" spans="1:9" x14ac:dyDescent="0.3">
      <c r="A196">
        <v>195</v>
      </c>
      <c r="B196" t="s">
        <v>43</v>
      </c>
      <c r="C196" t="s">
        <v>16</v>
      </c>
      <c r="D196" t="s">
        <v>534</v>
      </c>
      <c r="E196" t="s">
        <v>543</v>
      </c>
      <c r="F196" t="s">
        <v>539</v>
      </c>
      <c r="G196">
        <v>16.690000000000001</v>
      </c>
      <c r="H196">
        <v>8.3699999999999992</v>
      </c>
      <c r="I196" t="s">
        <v>537</v>
      </c>
    </row>
    <row r="197" spans="1:9" x14ac:dyDescent="0.3">
      <c r="A197">
        <v>196</v>
      </c>
      <c r="B197" t="s">
        <v>253</v>
      </c>
      <c r="C197" t="s">
        <v>20</v>
      </c>
      <c r="D197" t="s">
        <v>534</v>
      </c>
      <c r="E197" t="s">
        <v>538</v>
      </c>
      <c r="F197" t="s">
        <v>536</v>
      </c>
      <c r="G197">
        <v>59.41</v>
      </c>
      <c r="H197">
        <v>29.99</v>
      </c>
      <c r="I197" t="s">
        <v>537</v>
      </c>
    </row>
    <row r="198" spans="1:9" x14ac:dyDescent="0.3">
      <c r="A198">
        <v>197</v>
      </c>
      <c r="B198" t="s">
        <v>254</v>
      </c>
      <c r="C198" t="s">
        <v>17</v>
      </c>
      <c r="D198" t="s">
        <v>534</v>
      </c>
      <c r="E198" t="s">
        <v>543</v>
      </c>
      <c r="F198">
        <v>35</v>
      </c>
      <c r="G198">
        <v>66.680000000000007</v>
      </c>
      <c r="H198">
        <v>41.19</v>
      </c>
      <c r="I198" t="s">
        <v>537</v>
      </c>
    </row>
    <row r="199" spans="1:9" x14ac:dyDescent="0.3">
      <c r="A199">
        <v>198</v>
      </c>
      <c r="B199" t="s">
        <v>255</v>
      </c>
      <c r="C199" t="s">
        <v>18</v>
      </c>
      <c r="D199" t="s">
        <v>534</v>
      </c>
      <c r="E199" t="s">
        <v>540</v>
      </c>
      <c r="F199" t="s">
        <v>536</v>
      </c>
      <c r="G199">
        <v>14.64</v>
      </c>
      <c r="H199">
        <v>9.8000000000000007</v>
      </c>
      <c r="I199" t="s">
        <v>537</v>
      </c>
    </row>
    <row r="200" spans="1:9" x14ac:dyDescent="0.3">
      <c r="A200">
        <v>199</v>
      </c>
      <c r="B200" t="s">
        <v>44</v>
      </c>
      <c r="C200" t="s">
        <v>18</v>
      </c>
      <c r="D200" t="s">
        <v>534</v>
      </c>
      <c r="E200" t="s">
        <v>535</v>
      </c>
      <c r="F200" t="s">
        <v>536</v>
      </c>
      <c r="G200">
        <v>36.479999999999997</v>
      </c>
      <c r="H200">
        <v>24.3</v>
      </c>
      <c r="I200" t="s">
        <v>537</v>
      </c>
    </row>
    <row r="201" spans="1:9" x14ac:dyDescent="0.3">
      <c r="A201">
        <v>200</v>
      </c>
      <c r="B201" t="s">
        <v>256</v>
      </c>
      <c r="C201" t="s">
        <v>19</v>
      </c>
      <c r="D201" t="s">
        <v>534</v>
      </c>
      <c r="E201" t="s">
        <v>543</v>
      </c>
      <c r="F201" t="s">
        <v>536</v>
      </c>
      <c r="G201">
        <v>46.41</v>
      </c>
      <c r="H201">
        <v>29.42</v>
      </c>
      <c r="I201" t="s">
        <v>537</v>
      </c>
    </row>
    <row r="202" spans="1:9" x14ac:dyDescent="0.3">
      <c r="A202">
        <v>201</v>
      </c>
      <c r="B202" t="s">
        <v>257</v>
      </c>
      <c r="C202" t="s">
        <v>16</v>
      </c>
      <c r="D202" t="s">
        <v>534</v>
      </c>
      <c r="E202" t="s">
        <v>538</v>
      </c>
      <c r="F202" t="s">
        <v>544</v>
      </c>
      <c r="G202">
        <v>45.62</v>
      </c>
      <c r="H202">
        <v>27.03</v>
      </c>
      <c r="I202" t="s">
        <v>537</v>
      </c>
    </row>
    <row r="203" spans="1:9" x14ac:dyDescent="0.3">
      <c r="A203">
        <v>202</v>
      </c>
      <c r="B203" t="s">
        <v>258</v>
      </c>
      <c r="C203" t="s">
        <v>16</v>
      </c>
      <c r="D203" t="s">
        <v>534</v>
      </c>
      <c r="E203" t="s">
        <v>535</v>
      </c>
      <c r="F203" t="s">
        <v>539</v>
      </c>
      <c r="G203">
        <v>41.88</v>
      </c>
      <c r="H203">
        <v>17.809999999999999</v>
      </c>
      <c r="I203" t="s">
        <v>537</v>
      </c>
    </row>
    <row r="204" spans="1:9" x14ac:dyDescent="0.3">
      <c r="A204">
        <v>203</v>
      </c>
      <c r="B204" t="s">
        <v>259</v>
      </c>
      <c r="C204" t="s">
        <v>18</v>
      </c>
      <c r="D204" t="s">
        <v>534</v>
      </c>
      <c r="E204" t="s">
        <v>538</v>
      </c>
      <c r="F204" t="s">
        <v>544</v>
      </c>
      <c r="G204">
        <v>52.1</v>
      </c>
      <c r="H204">
        <v>23.37</v>
      </c>
      <c r="I204" t="s">
        <v>537</v>
      </c>
    </row>
    <row r="205" spans="1:9" x14ac:dyDescent="0.3">
      <c r="A205">
        <v>204</v>
      </c>
      <c r="B205" t="s">
        <v>45</v>
      </c>
      <c r="C205" t="s">
        <v>18</v>
      </c>
      <c r="D205" t="s">
        <v>534</v>
      </c>
      <c r="E205" t="s">
        <v>538</v>
      </c>
      <c r="F205" t="s">
        <v>545</v>
      </c>
      <c r="G205">
        <v>39.200000000000003</v>
      </c>
      <c r="H205">
        <v>26.25</v>
      </c>
      <c r="I205" t="s">
        <v>537</v>
      </c>
    </row>
    <row r="206" spans="1:9" x14ac:dyDescent="0.3">
      <c r="A206">
        <v>205</v>
      </c>
      <c r="B206" t="s">
        <v>260</v>
      </c>
      <c r="C206" t="s">
        <v>20</v>
      </c>
      <c r="D206" t="s">
        <v>534</v>
      </c>
      <c r="E206" t="s">
        <v>535</v>
      </c>
      <c r="F206" t="s">
        <v>545</v>
      </c>
      <c r="G206">
        <v>24.05</v>
      </c>
      <c r="H206">
        <v>14</v>
      </c>
      <c r="I206" t="s">
        <v>537</v>
      </c>
    </row>
    <row r="207" spans="1:9" x14ac:dyDescent="0.3">
      <c r="A207">
        <v>206</v>
      </c>
      <c r="B207" t="s">
        <v>261</v>
      </c>
      <c r="C207" t="s">
        <v>20</v>
      </c>
      <c r="D207" t="s">
        <v>534</v>
      </c>
      <c r="E207" t="s">
        <v>540</v>
      </c>
      <c r="F207" t="s">
        <v>539</v>
      </c>
      <c r="G207">
        <v>63.03</v>
      </c>
      <c r="H207">
        <v>25.39</v>
      </c>
      <c r="I207" t="s">
        <v>537</v>
      </c>
    </row>
    <row r="208" spans="1:9" x14ac:dyDescent="0.3">
      <c r="A208">
        <v>207</v>
      </c>
      <c r="B208" t="s">
        <v>262</v>
      </c>
      <c r="C208" t="s">
        <v>16</v>
      </c>
      <c r="D208" t="s">
        <v>534</v>
      </c>
      <c r="E208" t="s">
        <v>542</v>
      </c>
      <c r="F208" t="s">
        <v>536</v>
      </c>
      <c r="G208">
        <v>67.98</v>
      </c>
      <c r="H208">
        <v>29.26</v>
      </c>
      <c r="I208" t="s">
        <v>537</v>
      </c>
    </row>
    <row r="209" spans="1:9" x14ac:dyDescent="0.3">
      <c r="A209">
        <v>208</v>
      </c>
      <c r="B209" t="s">
        <v>46</v>
      </c>
      <c r="C209" t="s">
        <v>16</v>
      </c>
      <c r="D209" t="s">
        <v>534</v>
      </c>
      <c r="E209" t="s">
        <v>535</v>
      </c>
      <c r="F209" t="s">
        <v>541</v>
      </c>
      <c r="G209">
        <v>37.450000000000003</v>
      </c>
      <c r="H209">
        <v>22.43</v>
      </c>
      <c r="I209" t="s">
        <v>537</v>
      </c>
    </row>
    <row r="210" spans="1:9" x14ac:dyDescent="0.3">
      <c r="A210">
        <v>209</v>
      </c>
      <c r="B210" t="s">
        <v>263</v>
      </c>
      <c r="C210" t="s">
        <v>17</v>
      </c>
      <c r="D210" t="s">
        <v>534</v>
      </c>
      <c r="E210" t="s">
        <v>535</v>
      </c>
      <c r="F210">
        <v>40</v>
      </c>
      <c r="G210">
        <v>32.409999999999997</v>
      </c>
      <c r="H210">
        <v>13.01</v>
      </c>
      <c r="I210" t="s">
        <v>537</v>
      </c>
    </row>
    <row r="211" spans="1:9" x14ac:dyDescent="0.3">
      <c r="A211">
        <v>210</v>
      </c>
      <c r="B211" t="s">
        <v>47</v>
      </c>
      <c r="C211" t="s">
        <v>19</v>
      </c>
      <c r="D211" t="s">
        <v>534</v>
      </c>
      <c r="E211" t="s">
        <v>540</v>
      </c>
      <c r="F211" t="s">
        <v>539</v>
      </c>
      <c r="G211">
        <v>57.32</v>
      </c>
      <c r="H211">
        <v>25.69</v>
      </c>
      <c r="I211" t="s">
        <v>537</v>
      </c>
    </row>
    <row r="212" spans="1:9" x14ac:dyDescent="0.3">
      <c r="A212">
        <v>211</v>
      </c>
      <c r="B212" t="s">
        <v>264</v>
      </c>
      <c r="C212" t="s">
        <v>17</v>
      </c>
      <c r="D212" t="s">
        <v>534</v>
      </c>
      <c r="E212" t="s">
        <v>540</v>
      </c>
      <c r="F212">
        <v>36</v>
      </c>
      <c r="G212">
        <v>43.5</v>
      </c>
      <c r="H212">
        <v>24.56</v>
      </c>
      <c r="I212" t="s">
        <v>537</v>
      </c>
    </row>
    <row r="213" spans="1:9" x14ac:dyDescent="0.3">
      <c r="A213">
        <v>212</v>
      </c>
      <c r="B213" t="s">
        <v>265</v>
      </c>
      <c r="C213" t="s">
        <v>16</v>
      </c>
      <c r="D213" t="s">
        <v>534</v>
      </c>
      <c r="E213" t="s">
        <v>535</v>
      </c>
      <c r="F213" t="s">
        <v>545</v>
      </c>
      <c r="G213">
        <v>74.13</v>
      </c>
      <c r="H213">
        <v>45.04</v>
      </c>
      <c r="I213" t="s">
        <v>537</v>
      </c>
    </row>
    <row r="214" spans="1:9" x14ac:dyDescent="0.3">
      <c r="A214">
        <v>213</v>
      </c>
      <c r="B214" t="s">
        <v>266</v>
      </c>
      <c r="C214" t="s">
        <v>16</v>
      </c>
      <c r="D214" t="s">
        <v>534</v>
      </c>
      <c r="E214" t="s">
        <v>543</v>
      </c>
      <c r="F214" t="s">
        <v>536</v>
      </c>
      <c r="G214">
        <v>57.31</v>
      </c>
      <c r="H214">
        <v>34.130000000000003</v>
      </c>
      <c r="I214" t="s">
        <v>537</v>
      </c>
    </row>
    <row r="215" spans="1:9" x14ac:dyDescent="0.3">
      <c r="A215">
        <v>214</v>
      </c>
      <c r="B215" t="s">
        <v>267</v>
      </c>
      <c r="C215" t="s">
        <v>20</v>
      </c>
      <c r="D215" t="s">
        <v>534</v>
      </c>
      <c r="E215" t="s">
        <v>540</v>
      </c>
      <c r="F215" t="s">
        <v>536</v>
      </c>
      <c r="G215">
        <v>59.07</v>
      </c>
      <c r="H215">
        <v>27.6</v>
      </c>
      <c r="I215" t="s">
        <v>537</v>
      </c>
    </row>
    <row r="216" spans="1:9" x14ac:dyDescent="0.3">
      <c r="A216">
        <v>215</v>
      </c>
      <c r="B216" t="s">
        <v>268</v>
      </c>
      <c r="C216" t="s">
        <v>20</v>
      </c>
      <c r="D216" t="s">
        <v>534</v>
      </c>
      <c r="E216" t="s">
        <v>535</v>
      </c>
      <c r="F216" t="s">
        <v>544</v>
      </c>
      <c r="G216">
        <v>37.11</v>
      </c>
      <c r="H216">
        <v>22.77</v>
      </c>
      <c r="I216" t="s">
        <v>537</v>
      </c>
    </row>
    <row r="217" spans="1:9" x14ac:dyDescent="0.3">
      <c r="A217">
        <v>216</v>
      </c>
      <c r="B217" t="s">
        <v>269</v>
      </c>
      <c r="C217" t="s">
        <v>17</v>
      </c>
      <c r="D217" t="s">
        <v>534</v>
      </c>
      <c r="E217" t="s">
        <v>540</v>
      </c>
      <c r="F217" t="s">
        <v>545</v>
      </c>
      <c r="G217">
        <v>48.86</v>
      </c>
      <c r="H217">
        <v>23.02</v>
      </c>
      <c r="I217" t="s">
        <v>537</v>
      </c>
    </row>
    <row r="218" spans="1:9" x14ac:dyDescent="0.3">
      <c r="A218">
        <v>217</v>
      </c>
      <c r="B218" t="s">
        <v>270</v>
      </c>
      <c r="C218" t="s">
        <v>16</v>
      </c>
      <c r="D218" t="s">
        <v>534</v>
      </c>
      <c r="E218" t="s">
        <v>538</v>
      </c>
      <c r="F218" t="s">
        <v>545</v>
      </c>
      <c r="G218">
        <v>52.12</v>
      </c>
      <c r="H218">
        <v>25.94</v>
      </c>
      <c r="I218" t="s">
        <v>537</v>
      </c>
    </row>
    <row r="219" spans="1:9" x14ac:dyDescent="0.3">
      <c r="A219">
        <v>218</v>
      </c>
      <c r="B219" t="s">
        <v>271</v>
      </c>
      <c r="C219" t="s">
        <v>16</v>
      </c>
      <c r="D219" t="s">
        <v>534</v>
      </c>
      <c r="E219" t="s">
        <v>542</v>
      </c>
      <c r="F219" t="s">
        <v>536</v>
      </c>
      <c r="G219">
        <v>48.73</v>
      </c>
      <c r="H219">
        <v>30.4</v>
      </c>
      <c r="I219" t="s">
        <v>537</v>
      </c>
    </row>
    <row r="220" spans="1:9" x14ac:dyDescent="0.3">
      <c r="A220">
        <v>219</v>
      </c>
      <c r="B220" t="s">
        <v>48</v>
      </c>
      <c r="C220" t="s">
        <v>17</v>
      </c>
      <c r="D220" t="s">
        <v>534</v>
      </c>
      <c r="E220" t="s">
        <v>540</v>
      </c>
      <c r="F220">
        <v>40</v>
      </c>
      <c r="G220">
        <v>49.76</v>
      </c>
      <c r="H220">
        <v>29.6</v>
      </c>
      <c r="I220" t="s">
        <v>537</v>
      </c>
    </row>
    <row r="221" spans="1:9" x14ac:dyDescent="0.3">
      <c r="A221">
        <v>220</v>
      </c>
      <c r="B221" t="s">
        <v>272</v>
      </c>
      <c r="C221" t="s">
        <v>19</v>
      </c>
      <c r="D221" t="s">
        <v>534</v>
      </c>
      <c r="E221" t="s">
        <v>542</v>
      </c>
      <c r="F221" t="s">
        <v>544</v>
      </c>
      <c r="G221">
        <v>52.6</v>
      </c>
      <c r="H221">
        <v>34.44</v>
      </c>
      <c r="I221" t="s">
        <v>537</v>
      </c>
    </row>
    <row r="222" spans="1:9" x14ac:dyDescent="0.3">
      <c r="A222">
        <v>221</v>
      </c>
      <c r="B222" t="s">
        <v>273</v>
      </c>
      <c r="C222" t="s">
        <v>16</v>
      </c>
      <c r="D222" t="s">
        <v>534</v>
      </c>
      <c r="E222" t="s">
        <v>543</v>
      </c>
      <c r="F222" t="s">
        <v>541</v>
      </c>
      <c r="G222">
        <v>53.7</v>
      </c>
      <c r="H222">
        <v>32.07</v>
      </c>
      <c r="I222" t="s">
        <v>537</v>
      </c>
    </row>
    <row r="223" spans="1:9" x14ac:dyDescent="0.3">
      <c r="A223">
        <v>222</v>
      </c>
      <c r="B223" t="s">
        <v>274</v>
      </c>
      <c r="C223" t="s">
        <v>18</v>
      </c>
      <c r="D223" t="s">
        <v>534</v>
      </c>
      <c r="E223" t="s">
        <v>543</v>
      </c>
      <c r="F223" t="s">
        <v>541</v>
      </c>
      <c r="G223">
        <v>57.19</v>
      </c>
      <c r="H223">
        <v>32.630000000000003</v>
      </c>
      <c r="I223" t="s">
        <v>537</v>
      </c>
    </row>
    <row r="224" spans="1:9" x14ac:dyDescent="0.3">
      <c r="A224">
        <v>223</v>
      </c>
      <c r="B224" t="s">
        <v>275</v>
      </c>
      <c r="C224" t="s">
        <v>20</v>
      </c>
      <c r="D224" t="s">
        <v>534</v>
      </c>
      <c r="E224" t="s">
        <v>535</v>
      </c>
      <c r="F224" t="s">
        <v>544</v>
      </c>
      <c r="G224">
        <v>57.36</v>
      </c>
      <c r="H224">
        <v>24.56</v>
      </c>
      <c r="I224" t="s">
        <v>537</v>
      </c>
    </row>
    <row r="225" spans="1:9" x14ac:dyDescent="0.3">
      <c r="A225">
        <v>224</v>
      </c>
      <c r="B225" t="s">
        <v>276</v>
      </c>
      <c r="C225" t="s">
        <v>18</v>
      </c>
      <c r="D225" t="s">
        <v>534</v>
      </c>
      <c r="E225" t="s">
        <v>542</v>
      </c>
      <c r="F225" t="s">
        <v>544</v>
      </c>
      <c r="G225">
        <v>75.400000000000006</v>
      </c>
      <c r="H225">
        <v>38.479999999999997</v>
      </c>
      <c r="I225" t="s">
        <v>537</v>
      </c>
    </row>
    <row r="226" spans="1:9" x14ac:dyDescent="0.3">
      <c r="A226">
        <v>225</v>
      </c>
      <c r="B226" t="s">
        <v>277</v>
      </c>
      <c r="C226" t="s">
        <v>17</v>
      </c>
      <c r="D226" t="s">
        <v>534</v>
      </c>
      <c r="E226" t="s">
        <v>538</v>
      </c>
      <c r="F226" t="s">
        <v>545</v>
      </c>
      <c r="G226">
        <v>58.11</v>
      </c>
      <c r="H226">
        <v>27.87</v>
      </c>
      <c r="I226" t="s">
        <v>537</v>
      </c>
    </row>
    <row r="227" spans="1:9" x14ac:dyDescent="0.3">
      <c r="A227">
        <v>226</v>
      </c>
      <c r="B227" t="s">
        <v>278</v>
      </c>
      <c r="C227" t="s">
        <v>19</v>
      </c>
      <c r="D227" t="s">
        <v>534</v>
      </c>
      <c r="E227" t="s">
        <v>535</v>
      </c>
      <c r="F227" t="s">
        <v>536</v>
      </c>
      <c r="G227">
        <v>39.78</v>
      </c>
      <c r="H227">
        <v>18.82</v>
      </c>
      <c r="I227" t="s">
        <v>537</v>
      </c>
    </row>
    <row r="228" spans="1:9" x14ac:dyDescent="0.3">
      <c r="A228">
        <v>227</v>
      </c>
      <c r="B228" t="s">
        <v>279</v>
      </c>
      <c r="C228" t="s">
        <v>16</v>
      </c>
      <c r="D228" t="s">
        <v>534</v>
      </c>
      <c r="E228" t="s">
        <v>538</v>
      </c>
      <c r="F228" t="s">
        <v>536</v>
      </c>
      <c r="G228">
        <v>57.51</v>
      </c>
      <c r="H228">
        <v>39.79</v>
      </c>
      <c r="I228" t="s">
        <v>537</v>
      </c>
    </row>
    <row r="229" spans="1:9" x14ac:dyDescent="0.3">
      <c r="A229">
        <v>228</v>
      </c>
      <c r="B229" t="s">
        <v>280</v>
      </c>
      <c r="C229" t="s">
        <v>20</v>
      </c>
      <c r="D229" t="s">
        <v>534</v>
      </c>
      <c r="E229" t="s">
        <v>540</v>
      </c>
      <c r="F229" t="s">
        <v>544</v>
      </c>
      <c r="G229">
        <v>46.89</v>
      </c>
      <c r="H229">
        <v>24.29</v>
      </c>
      <c r="I229" t="s">
        <v>537</v>
      </c>
    </row>
    <row r="230" spans="1:9" x14ac:dyDescent="0.3">
      <c r="A230">
        <v>229</v>
      </c>
      <c r="B230" t="s">
        <v>281</v>
      </c>
      <c r="C230" t="s">
        <v>17</v>
      </c>
      <c r="D230" t="s">
        <v>534</v>
      </c>
      <c r="E230" t="s">
        <v>542</v>
      </c>
      <c r="F230">
        <v>36</v>
      </c>
      <c r="G230">
        <v>45.58</v>
      </c>
      <c r="H230">
        <v>30.43</v>
      </c>
      <c r="I230" t="s">
        <v>537</v>
      </c>
    </row>
    <row r="231" spans="1:9" x14ac:dyDescent="0.3">
      <c r="A231">
        <v>230</v>
      </c>
      <c r="B231" t="s">
        <v>282</v>
      </c>
      <c r="C231" t="s">
        <v>19</v>
      </c>
      <c r="D231" t="s">
        <v>534</v>
      </c>
      <c r="E231" t="s">
        <v>538</v>
      </c>
      <c r="F231" t="s">
        <v>545</v>
      </c>
      <c r="G231">
        <v>48.3</v>
      </c>
      <c r="H231">
        <v>28.47</v>
      </c>
      <c r="I231" t="s">
        <v>537</v>
      </c>
    </row>
    <row r="232" spans="1:9" x14ac:dyDescent="0.3">
      <c r="A232">
        <v>231</v>
      </c>
      <c r="B232" t="s">
        <v>49</v>
      </c>
      <c r="C232" t="s">
        <v>17</v>
      </c>
      <c r="D232" t="s">
        <v>534</v>
      </c>
      <c r="E232" t="s">
        <v>540</v>
      </c>
      <c r="F232">
        <v>36</v>
      </c>
      <c r="G232">
        <v>44.06</v>
      </c>
      <c r="H232">
        <v>28.13</v>
      </c>
      <c r="I232" t="s">
        <v>537</v>
      </c>
    </row>
    <row r="233" spans="1:9" x14ac:dyDescent="0.3">
      <c r="A233">
        <v>232</v>
      </c>
      <c r="B233" t="s">
        <v>283</v>
      </c>
      <c r="C233" t="s">
        <v>17</v>
      </c>
      <c r="D233" t="s">
        <v>534</v>
      </c>
      <c r="E233" t="s">
        <v>543</v>
      </c>
      <c r="F233" t="s">
        <v>545</v>
      </c>
      <c r="G233">
        <v>49.34</v>
      </c>
      <c r="H233">
        <v>27.18</v>
      </c>
      <c r="I233" t="s">
        <v>537</v>
      </c>
    </row>
    <row r="234" spans="1:9" x14ac:dyDescent="0.3">
      <c r="A234">
        <v>233</v>
      </c>
      <c r="B234" t="s">
        <v>284</v>
      </c>
      <c r="C234" t="s">
        <v>17</v>
      </c>
      <c r="D234" t="s">
        <v>534</v>
      </c>
      <c r="E234" t="s">
        <v>543</v>
      </c>
      <c r="F234">
        <v>36</v>
      </c>
      <c r="G234">
        <v>38.68</v>
      </c>
      <c r="H234">
        <v>22.17</v>
      </c>
      <c r="I234" t="s">
        <v>537</v>
      </c>
    </row>
    <row r="235" spans="1:9" x14ac:dyDescent="0.3">
      <c r="A235">
        <v>234</v>
      </c>
      <c r="B235" t="s">
        <v>50</v>
      </c>
      <c r="C235" t="s">
        <v>16</v>
      </c>
      <c r="D235" t="s">
        <v>534</v>
      </c>
      <c r="E235" t="s">
        <v>540</v>
      </c>
      <c r="F235" t="s">
        <v>536</v>
      </c>
      <c r="G235">
        <v>80</v>
      </c>
      <c r="H235">
        <v>43.82</v>
      </c>
      <c r="I235" t="s">
        <v>537</v>
      </c>
    </row>
    <row r="236" spans="1:9" x14ac:dyDescent="0.3">
      <c r="A236">
        <v>235</v>
      </c>
      <c r="B236" t="s">
        <v>285</v>
      </c>
      <c r="C236" t="s">
        <v>19</v>
      </c>
      <c r="D236" t="s">
        <v>534</v>
      </c>
      <c r="E236" t="s">
        <v>543</v>
      </c>
      <c r="F236" t="s">
        <v>541</v>
      </c>
      <c r="G236">
        <v>23.68</v>
      </c>
      <c r="H236">
        <v>10.86</v>
      </c>
      <c r="I236" t="s">
        <v>537</v>
      </c>
    </row>
    <row r="237" spans="1:9" x14ac:dyDescent="0.3">
      <c r="A237">
        <v>236</v>
      </c>
      <c r="B237" t="s">
        <v>286</v>
      </c>
      <c r="C237" t="s">
        <v>17</v>
      </c>
      <c r="D237" t="s">
        <v>534</v>
      </c>
      <c r="E237" t="s">
        <v>543</v>
      </c>
      <c r="F237" t="s">
        <v>545</v>
      </c>
      <c r="G237">
        <v>62.93</v>
      </c>
      <c r="H237">
        <v>38.81</v>
      </c>
      <c r="I237" t="s">
        <v>537</v>
      </c>
    </row>
    <row r="238" spans="1:9" x14ac:dyDescent="0.3">
      <c r="A238">
        <v>237</v>
      </c>
      <c r="B238" t="s">
        <v>287</v>
      </c>
      <c r="C238" t="s">
        <v>18</v>
      </c>
      <c r="D238" t="s">
        <v>534</v>
      </c>
      <c r="E238" t="s">
        <v>535</v>
      </c>
      <c r="F238" t="s">
        <v>539</v>
      </c>
      <c r="G238">
        <v>64.08</v>
      </c>
      <c r="H238">
        <v>31.03</v>
      </c>
      <c r="I238" t="s">
        <v>537</v>
      </c>
    </row>
    <row r="239" spans="1:9" x14ac:dyDescent="0.3">
      <c r="A239">
        <v>238</v>
      </c>
      <c r="B239" t="s">
        <v>288</v>
      </c>
      <c r="C239" t="s">
        <v>16</v>
      </c>
      <c r="D239" t="s">
        <v>534</v>
      </c>
      <c r="E239" t="s">
        <v>543</v>
      </c>
      <c r="F239" t="s">
        <v>545</v>
      </c>
      <c r="G239">
        <v>85.9</v>
      </c>
      <c r="H239">
        <v>34.99</v>
      </c>
      <c r="I239" t="s">
        <v>537</v>
      </c>
    </row>
    <row r="240" spans="1:9" x14ac:dyDescent="0.3">
      <c r="A240">
        <v>239</v>
      </c>
      <c r="B240" t="s">
        <v>289</v>
      </c>
      <c r="C240" t="s">
        <v>20</v>
      </c>
      <c r="D240" t="s">
        <v>534</v>
      </c>
      <c r="E240" t="s">
        <v>535</v>
      </c>
      <c r="F240" t="s">
        <v>539</v>
      </c>
      <c r="G240">
        <v>66.989999999999995</v>
      </c>
      <c r="H240">
        <v>39.770000000000003</v>
      </c>
      <c r="I240" t="s">
        <v>537</v>
      </c>
    </row>
    <row r="241" spans="1:9" x14ac:dyDescent="0.3">
      <c r="A241">
        <v>240</v>
      </c>
      <c r="B241" t="s">
        <v>290</v>
      </c>
      <c r="C241" t="s">
        <v>20</v>
      </c>
      <c r="D241" t="s">
        <v>534</v>
      </c>
      <c r="E241" t="s">
        <v>540</v>
      </c>
      <c r="F241" t="s">
        <v>541</v>
      </c>
      <c r="G241">
        <v>38.14</v>
      </c>
      <c r="H241">
        <v>17.28</v>
      </c>
      <c r="I241" t="s">
        <v>537</v>
      </c>
    </row>
    <row r="242" spans="1:9" x14ac:dyDescent="0.3">
      <c r="A242">
        <v>241</v>
      </c>
      <c r="B242" t="s">
        <v>291</v>
      </c>
      <c r="C242" t="s">
        <v>20</v>
      </c>
      <c r="D242" t="s">
        <v>534</v>
      </c>
      <c r="E242" t="s">
        <v>543</v>
      </c>
      <c r="F242" t="s">
        <v>544</v>
      </c>
      <c r="G242">
        <v>29.82</v>
      </c>
      <c r="H242">
        <v>20.34</v>
      </c>
      <c r="I242" t="s">
        <v>537</v>
      </c>
    </row>
    <row r="243" spans="1:9" x14ac:dyDescent="0.3">
      <c r="A243">
        <v>242</v>
      </c>
      <c r="B243" t="s">
        <v>292</v>
      </c>
      <c r="C243" t="s">
        <v>17</v>
      </c>
      <c r="D243" t="s">
        <v>534</v>
      </c>
      <c r="E243" t="s">
        <v>543</v>
      </c>
      <c r="F243" t="s">
        <v>545</v>
      </c>
      <c r="G243">
        <v>51.25</v>
      </c>
      <c r="H243">
        <v>35.17</v>
      </c>
      <c r="I243" t="s">
        <v>537</v>
      </c>
    </row>
    <row r="244" spans="1:9" x14ac:dyDescent="0.3">
      <c r="A244">
        <v>243</v>
      </c>
      <c r="B244" t="s">
        <v>51</v>
      </c>
      <c r="C244" t="s">
        <v>19</v>
      </c>
      <c r="D244" t="s">
        <v>534</v>
      </c>
      <c r="E244" t="s">
        <v>543</v>
      </c>
      <c r="F244" t="s">
        <v>536</v>
      </c>
      <c r="G244">
        <v>37.06</v>
      </c>
      <c r="H244">
        <v>25</v>
      </c>
      <c r="I244" t="s">
        <v>537</v>
      </c>
    </row>
    <row r="245" spans="1:9" x14ac:dyDescent="0.3">
      <c r="A245">
        <v>244</v>
      </c>
      <c r="B245" t="s">
        <v>293</v>
      </c>
      <c r="C245" t="s">
        <v>17</v>
      </c>
      <c r="D245" t="s">
        <v>534</v>
      </c>
      <c r="E245" t="s">
        <v>542</v>
      </c>
      <c r="F245">
        <v>40</v>
      </c>
      <c r="G245">
        <v>59.32</v>
      </c>
      <c r="H245">
        <v>30.32</v>
      </c>
      <c r="I245" t="s">
        <v>537</v>
      </c>
    </row>
    <row r="246" spans="1:9" x14ac:dyDescent="0.3">
      <c r="A246">
        <v>245</v>
      </c>
      <c r="B246" t="s">
        <v>52</v>
      </c>
      <c r="C246" t="s">
        <v>18</v>
      </c>
      <c r="D246" t="s">
        <v>534</v>
      </c>
      <c r="E246" t="s">
        <v>540</v>
      </c>
      <c r="F246" t="s">
        <v>544</v>
      </c>
      <c r="G246">
        <v>24.91</v>
      </c>
      <c r="H246">
        <v>10.08</v>
      </c>
      <c r="I246" t="s">
        <v>537</v>
      </c>
    </row>
    <row r="247" spans="1:9" x14ac:dyDescent="0.3">
      <c r="A247">
        <v>246</v>
      </c>
      <c r="B247" t="s">
        <v>294</v>
      </c>
      <c r="C247" t="s">
        <v>18</v>
      </c>
      <c r="D247" t="s">
        <v>534</v>
      </c>
      <c r="E247" t="s">
        <v>538</v>
      </c>
      <c r="F247" t="s">
        <v>545</v>
      </c>
      <c r="G247">
        <v>28.98</v>
      </c>
      <c r="H247">
        <v>19.66</v>
      </c>
      <c r="I247" t="s">
        <v>537</v>
      </c>
    </row>
    <row r="248" spans="1:9" x14ac:dyDescent="0.3">
      <c r="A248">
        <v>247</v>
      </c>
      <c r="B248" t="s">
        <v>295</v>
      </c>
      <c r="C248" t="s">
        <v>20</v>
      </c>
      <c r="D248" t="s">
        <v>534</v>
      </c>
      <c r="E248" t="s">
        <v>543</v>
      </c>
      <c r="F248" t="s">
        <v>544</v>
      </c>
      <c r="G248">
        <v>58.86</v>
      </c>
      <c r="H248">
        <v>31.1</v>
      </c>
      <c r="I248" t="s">
        <v>537</v>
      </c>
    </row>
    <row r="249" spans="1:9" x14ac:dyDescent="0.3">
      <c r="A249">
        <v>248</v>
      </c>
      <c r="B249" t="s">
        <v>296</v>
      </c>
      <c r="C249" t="s">
        <v>16</v>
      </c>
      <c r="D249" t="s">
        <v>534</v>
      </c>
      <c r="E249" t="s">
        <v>538</v>
      </c>
      <c r="F249" t="s">
        <v>539</v>
      </c>
      <c r="G249">
        <v>36.79</v>
      </c>
      <c r="H249">
        <v>25.38</v>
      </c>
      <c r="I249" t="s">
        <v>537</v>
      </c>
    </row>
    <row r="250" spans="1:9" x14ac:dyDescent="0.3">
      <c r="A250">
        <v>249</v>
      </c>
      <c r="B250" t="s">
        <v>297</v>
      </c>
      <c r="C250" t="s">
        <v>19</v>
      </c>
      <c r="D250" t="s">
        <v>534</v>
      </c>
      <c r="E250" t="s">
        <v>538</v>
      </c>
      <c r="F250" t="s">
        <v>539</v>
      </c>
      <c r="G250">
        <v>28.42</v>
      </c>
      <c r="H250">
        <v>19.579999999999998</v>
      </c>
      <c r="I250" t="s">
        <v>537</v>
      </c>
    </row>
    <row r="251" spans="1:9" x14ac:dyDescent="0.3">
      <c r="A251">
        <v>250</v>
      </c>
      <c r="B251" t="s">
        <v>298</v>
      </c>
      <c r="C251" t="s">
        <v>17</v>
      </c>
      <c r="D251" t="s">
        <v>534</v>
      </c>
      <c r="E251" t="s">
        <v>542</v>
      </c>
      <c r="F251">
        <v>38</v>
      </c>
      <c r="G251">
        <v>68.22</v>
      </c>
      <c r="H251">
        <v>44.75</v>
      </c>
      <c r="I251" t="s">
        <v>537</v>
      </c>
    </row>
    <row r="252" spans="1:9" x14ac:dyDescent="0.3">
      <c r="A252">
        <v>251</v>
      </c>
      <c r="B252" t="s">
        <v>299</v>
      </c>
      <c r="C252" t="s">
        <v>16</v>
      </c>
      <c r="D252" t="s">
        <v>534</v>
      </c>
      <c r="E252" t="s">
        <v>535</v>
      </c>
      <c r="F252" t="s">
        <v>536</v>
      </c>
      <c r="G252">
        <v>36.880000000000003</v>
      </c>
      <c r="H252">
        <v>18.010000000000002</v>
      </c>
      <c r="I252" t="s">
        <v>537</v>
      </c>
    </row>
    <row r="253" spans="1:9" x14ac:dyDescent="0.3">
      <c r="A253">
        <v>252</v>
      </c>
      <c r="B253" t="s">
        <v>300</v>
      </c>
      <c r="C253" t="s">
        <v>16</v>
      </c>
      <c r="D253" t="s">
        <v>534</v>
      </c>
      <c r="E253" t="s">
        <v>543</v>
      </c>
      <c r="F253" t="s">
        <v>536</v>
      </c>
      <c r="G253">
        <v>51.17</v>
      </c>
      <c r="H253">
        <v>26.38</v>
      </c>
      <c r="I253" t="s">
        <v>537</v>
      </c>
    </row>
    <row r="254" spans="1:9" x14ac:dyDescent="0.3">
      <c r="A254">
        <v>253</v>
      </c>
      <c r="B254" t="s">
        <v>301</v>
      </c>
      <c r="C254" t="s">
        <v>16</v>
      </c>
      <c r="D254" t="s">
        <v>534</v>
      </c>
      <c r="E254" t="s">
        <v>543</v>
      </c>
      <c r="F254" t="s">
        <v>539</v>
      </c>
      <c r="G254">
        <v>50.55</v>
      </c>
      <c r="H254">
        <v>33.130000000000003</v>
      </c>
      <c r="I254" t="s">
        <v>537</v>
      </c>
    </row>
    <row r="255" spans="1:9" x14ac:dyDescent="0.3">
      <c r="A255">
        <v>254</v>
      </c>
      <c r="B255" t="s">
        <v>302</v>
      </c>
      <c r="C255" t="s">
        <v>17</v>
      </c>
      <c r="D255" t="s">
        <v>534</v>
      </c>
      <c r="E255" t="s">
        <v>543</v>
      </c>
      <c r="F255">
        <v>35</v>
      </c>
      <c r="G255">
        <v>47.44</v>
      </c>
      <c r="H255">
        <v>23.49</v>
      </c>
      <c r="I255" t="s">
        <v>537</v>
      </c>
    </row>
    <row r="256" spans="1:9" x14ac:dyDescent="0.3">
      <c r="A256">
        <v>255</v>
      </c>
      <c r="B256" t="s">
        <v>53</v>
      </c>
      <c r="C256" t="s">
        <v>20</v>
      </c>
      <c r="D256" t="s">
        <v>534</v>
      </c>
      <c r="E256" t="s">
        <v>542</v>
      </c>
      <c r="F256" t="s">
        <v>539</v>
      </c>
      <c r="G256">
        <v>51</v>
      </c>
      <c r="H256">
        <v>22.99</v>
      </c>
      <c r="I256" t="s">
        <v>537</v>
      </c>
    </row>
    <row r="257" spans="1:9" x14ac:dyDescent="0.3">
      <c r="A257">
        <v>256</v>
      </c>
      <c r="B257" t="s">
        <v>303</v>
      </c>
      <c r="C257" t="s">
        <v>19</v>
      </c>
      <c r="D257" t="s">
        <v>534</v>
      </c>
      <c r="E257" t="s">
        <v>540</v>
      </c>
      <c r="F257" t="s">
        <v>544</v>
      </c>
      <c r="G257">
        <v>38.409999999999997</v>
      </c>
      <c r="H257">
        <v>21.78</v>
      </c>
      <c r="I257" t="s">
        <v>537</v>
      </c>
    </row>
    <row r="258" spans="1:9" x14ac:dyDescent="0.3">
      <c r="A258">
        <v>257</v>
      </c>
      <c r="B258" t="s">
        <v>304</v>
      </c>
      <c r="C258" t="s">
        <v>17</v>
      </c>
      <c r="D258" t="s">
        <v>534</v>
      </c>
      <c r="E258" t="s">
        <v>540</v>
      </c>
      <c r="F258">
        <v>40</v>
      </c>
      <c r="G258">
        <v>77.900000000000006</v>
      </c>
      <c r="H258">
        <v>53.04</v>
      </c>
      <c r="I258" t="s">
        <v>537</v>
      </c>
    </row>
    <row r="259" spans="1:9" x14ac:dyDescent="0.3">
      <c r="A259">
        <v>258</v>
      </c>
      <c r="B259" t="s">
        <v>305</v>
      </c>
      <c r="C259" t="s">
        <v>17</v>
      </c>
      <c r="D259" t="s">
        <v>534</v>
      </c>
      <c r="E259" t="s">
        <v>542</v>
      </c>
      <c r="F259">
        <v>36</v>
      </c>
      <c r="G259">
        <v>31.48</v>
      </c>
      <c r="H259">
        <v>19.170000000000002</v>
      </c>
      <c r="I259" t="s">
        <v>537</v>
      </c>
    </row>
    <row r="260" spans="1:9" x14ac:dyDescent="0.3">
      <c r="A260">
        <v>259</v>
      </c>
      <c r="B260" t="s">
        <v>306</v>
      </c>
      <c r="C260" t="s">
        <v>20</v>
      </c>
      <c r="D260" t="s">
        <v>534</v>
      </c>
      <c r="E260" t="s">
        <v>538</v>
      </c>
      <c r="F260" t="s">
        <v>536</v>
      </c>
      <c r="G260">
        <v>35.729999999999997</v>
      </c>
      <c r="H260">
        <v>20.399999999999999</v>
      </c>
      <c r="I260" t="s">
        <v>537</v>
      </c>
    </row>
    <row r="261" spans="1:9" x14ac:dyDescent="0.3">
      <c r="A261">
        <v>260</v>
      </c>
      <c r="B261" t="s">
        <v>307</v>
      </c>
      <c r="C261" t="s">
        <v>18</v>
      </c>
      <c r="D261" t="s">
        <v>534</v>
      </c>
      <c r="E261" t="s">
        <v>538</v>
      </c>
      <c r="F261" t="s">
        <v>545</v>
      </c>
      <c r="G261">
        <v>64.28</v>
      </c>
      <c r="H261">
        <v>27.59</v>
      </c>
      <c r="I261" t="s">
        <v>537</v>
      </c>
    </row>
    <row r="262" spans="1:9" x14ac:dyDescent="0.3">
      <c r="A262">
        <v>261</v>
      </c>
      <c r="B262" t="s">
        <v>308</v>
      </c>
      <c r="C262" t="s">
        <v>16</v>
      </c>
      <c r="D262" t="s">
        <v>534</v>
      </c>
      <c r="E262" t="s">
        <v>538</v>
      </c>
      <c r="F262" t="s">
        <v>541</v>
      </c>
      <c r="G262">
        <v>46.1</v>
      </c>
      <c r="H262">
        <v>26.95</v>
      </c>
      <c r="I262" t="s">
        <v>537</v>
      </c>
    </row>
    <row r="263" spans="1:9" x14ac:dyDescent="0.3">
      <c r="A263">
        <v>262</v>
      </c>
      <c r="B263" t="s">
        <v>309</v>
      </c>
      <c r="C263" t="s">
        <v>19</v>
      </c>
      <c r="D263" t="s">
        <v>534</v>
      </c>
      <c r="E263" t="s">
        <v>542</v>
      </c>
      <c r="F263" t="s">
        <v>545</v>
      </c>
      <c r="G263">
        <v>52.94</v>
      </c>
      <c r="H263">
        <v>36.9</v>
      </c>
      <c r="I263" t="s">
        <v>537</v>
      </c>
    </row>
    <row r="264" spans="1:9" x14ac:dyDescent="0.3">
      <c r="A264">
        <v>263</v>
      </c>
      <c r="B264" t="s">
        <v>310</v>
      </c>
      <c r="C264" t="s">
        <v>17</v>
      </c>
      <c r="D264" t="s">
        <v>534</v>
      </c>
      <c r="E264" t="s">
        <v>538</v>
      </c>
      <c r="F264" t="s">
        <v>545</v>
      </c>
      <c r="G264">
        <v>42.48</v>
      </c>
      <c r="H264">
        <v>18.78</v>
      </c>
      <c r="I264" t="s">
        <v>537</v>
      </c>
    </row>
    <row r="265" spans="1:9" x14ac:dyDescent="0.3">
      <c r="A265">
        <v>264</v>
      </c>
      <c r="B265" t="s">
        <v>311</v>
      </c>
      <c r="C265" t="s">
        <v>16</v>
      </c>
      <c r="D265" t="s">
        <v>534</v>
      </c>
      <c r="E265" t="s">
        <v>538</v>
      </c>
      <c r="F265" t="s">
        <v>541</v>
      </c>
      <c r="G265">
        <v>55.01</v>
      </c>
      <c r="H265">
        <v>30.56</v>
      </c>
      <c r="I265" t="s">
        <v>537</v>
      </c>
    </row>
    <row r="266" spans="1:9" x14ac:dyDescent="0.3">
      <c r="A266">
        <v>265</v>
      </c>
      <c r="B266" t="s">
        <v>312</v>
      </c>
      <c r="C266" t="s">
        <v>17</v>
      </c>
      <c r="D266" t="s">
        <v>534</v>
      </c>
      <c r="E266" t="s">
        <v>535</v>
      </c>
      <c r="F266">
        <v>36</v>
      </c>
      <c r="G266">
        <v>55.25</v>
      </c>
      <c r="H266">
        <v>36.64</v>
      </c>
      <c r="I266" t="s">
        <v>537</v>
      </c>
    </row>
    <row r="267" spans="1:9" x14ac:dyDescent="0.3">
      <c r="A267">
        <v>266</v>
      </c>
      <c r="B267" t="s">
        <v>313</v>
      </c>
      <c r="C267" t="s">
        <v>20</v>
      </c>
      <c r="D267" t="s">
        <v>534</v>
      </c>
      <c r="E267" t="s">
        <v>535</v>
      </c>
      <c r="F267" t="s">
        <v>544</v>
      </c>
      <c r="G267">
        <v>61.67</v>
      </c>
      <c r="H267">
        <v>38.369999999999997</v>
      </c>
      <c r="I267" t="s">
        <v>537</v>
      </c>
    </row>
    <row r="268" spans="1:9" x14ac:dyDescent="0.3">
      <c r="A268">
        <v>267</v>
      </c>
      <c r="B268" t="s">
        <v>314</v>
      </c>
      <c r="C268" t="s">
        <v>19</v>
      </c>
      <c r="D268" t="s">
        <v>534</v>
      </c>
      <c r="E268" t="s">
        <v>535</v>
      </c>
      <c r="F268" t="s">
        <v>544</v>
      </c>
      <c r="G268">
        <v>53.91</v>
      </c>
      <c r="H268">
        <v>32.840000000000003</v>
      </c>
      <c r="I268" t="s">
        <v>537</v>
      </c>
    </row>
    <row r="269" spans="1:9" x14ac:dyDescent="0.3">
      <c r="A269">
        <v>268</v>
      </c>
      <c r="B269" t="s">
        <v>315</v>
      </c>
      <c r="C269" t="s">
        <v>19</v>
      </c>
      <c r="D269" t="s">
        <v>534</v>
      </c>
      <c r="E269" t="s">
        <v>543</v>
      </c>
      <c r="F269" t="s">
        <v>536</v>
      </c>
      <c r="G269">
        <v>49.59</v>
      </c>
      <c r="H269">
        <v>30.29</v>
      </c>
      <c r="I269" t="s">
        <v>537</v>
      </c>
    </row>
    <row r="270" spans="1:9" x14ac:dyDescent="0.3">
      <c r="A270">
        <v>269</v>
      </c>
      <c r="B270" t="s">
        <v>316</v>
      </c>
      <c r="C270" t="s">
        <v>18</v>
      </c>
      <c r="D270" t="s">
        <v>534</v>
      </c>
      <c r="E270" t="s">
        <v>542</v>
      </c>
      <c r="F270" t="s">
        <v>545</v>
      </c>
      <c r="G270">
        <v>77.59</v>
      </c>
      <c r="H270">
        <v>39.4</v>
      </c>
      <c r="I270" t="s">
        <v>537</v>
      </c>
    </row>
    <row r="271" spans="1:9" x14ac:dyDescent="0.3">
      <c r="A271">
        <v>270</v>
      </c>
      <c r="B271" t="s">
        <v>317</v>
      </c>
      <c r="C271" t="s">
        <v>16</v>
      </c>
      <c r="D271" t="s">
        <v>534</v>
      </c>
      <c r="E271" t="s">
        <v>538</v>
      </c>
      <c r="F271" t="s">
        <v>536</v>
      </c>
      <c r="G271">
        <v>70.459999999999994</v>
      </c>
      <c r="H271">
        <v>34.39</v>
      </c>
      <c r="I271" t="s">
        <v>537</v>
      </c>
    </row>
    <row r="272" spans="1:9" x14ac:dyDescent="0.3">
      <c r="A272">
        <v>271</v>
      </c>
      <c r="B272" t="s">
        <v>318</v>
      </c>
      <c r="C272" t="s">
        <v>17</v>
      </c>
      <c r="D272" t="s">
        <v>534</v>
      </c>
      <c r="E272" t="s">
        <v>538</v>
      </c>
      <c r="F272">
        <v>40</v>
      </c>
      <c r="G272">
        <v>54.28</v>
      </c>
      <c r="H272">
        <v>34.89</v>
      </c>
      <c r="I272" t="s">
        <v>537</v>
      </c>
    </row>
    <row r="273" spans="1:9" x14ac:dyDescent="0.3">
      <c r="A273">
        <v>272</v>
      </c>
      <c r="B273" t="s">
        <v>319</v>
      </c>
      <c r="C273" t="s">
        <v>17</v>
      </c>
      <c r="D273" t="s">
        <v>534</v>
      </c>
      <c r="E273" t="s">
        <v>538</v>
      </c>
      <c r="F273">
        <v>38</v>
      </c>
      <c r="G273">
        <v>74.17</v>
      </c>
      <c r="H273">
        <v>47.69</v>
      </c>
      <c r="I273" t="s">
        <v>537</v>
      </c>
    </row>
    <row r="274" spans="1:9" x14ac:dyDescent="0.3">
      <c r="A274">
        <v>273</v>
      </c>
      <c r="B274" t="s">
        <v>320</v>
      </c>
      <c r="C274" t="s">
        <v>16</v>
      </c>
      <c r="D274" t="s">
        <v>534</v>
      </c>
      <c r="E274" t="s">
        <v>538</v>
      </c>
      <c r="F274" t="s">
        <v>541</v>
      </c>
      <c r="G274">
        <v>50.72</v>
      </c>
      <c r="H274">
        <v>33.479999999999997</v>
      </c>
      <c r="I274" t="s">
        <v>537</v>
      </c>
    </row>
    <row r="275" spans="1:9" x14ac:dyDescent="0.3">
      <c r="A275">
        <v>274</v>
      </c>
      <c r="B275" t="s">
        <v>321</v>
      </c>
      <c r="C275" t="s">
        <v>19</v>
      </c>
      <c r="D275" t="s">
        <v>534</v>
      </c>
      <c r="E275" t="s">
        <v>542</v>
      </c>
      <c r="F275" t="s">
        <v>539</v>
      </c>
      <c r="G275">
        <v>48.38</v>
      </c>
      <c r="H275">
        <v>32.61</v>
      </c>
      <c r="I275" t="s">
        <v>537</v>
      </c>
    </row>
    <row r="276" spans="1:9" x14ac:dyDescent="0.3">
      <c r="A276">
        <v>275</v>
      </c>
      <c r="B276" t="s">
        <v>322</v>
      </c>
      <c r="C276" t="s">
        <v>16</v>
      </c>
      <c r="D276" t="s">
        <v>534</v>
      </c>
      <c r="E276" t="s">
        <v>542</v>
      </c>
      <c r="F276" t="s">
        <v>539</v>
      </c>
      <c r="G276">
        <v>52.11</v>
      </c>
      <c r="H276">
        <v>28.84</v>
      </c>
      <c r="I276" t="s">
        <v>537</v>
      </c>
    </row>
    <row r="277" spans="1:9" x14ac:dyDescent="0.3">
      <c r="A277">
        <v>276</v>
      </c>
      <c r="B277" t="s">
        <v>323</v>
      </c>
      <c r="C277" t="s">
        <v>16</v>
      </c>
      <c r="D277" t="s">
        <v>534</v>
      </c>
      <c r="E277" t="s">
        <v>542</v>
      </c>
      <c r="F277" t="s">
        <v>541</v>
      </c>
      <c r="G277">
        <v>64.44</v>
      </c>
      <c r="H277">
        <v>35.47</v>
      </c>
      <c r="I277" t="s">
        <v>537</v>
      </c>
    </row>
    <row r="278" spans="1:9" x14ac:dyDescent="0.3">
      <c r="A278">
        <v>277</v>
      </c>
      <c r="B278" t="s">
        <v>324</v>
      </c>
      <c r="C278" t="s">
        <v>16</v>
      </c>
      <c r="D278" t="s">
        <v>534</v>
      </c>
      <c r="E278" t="s">
        <v>540</v>
      </c>
      <c r="F278" t="s">
        <v>544</v>
      </c>
      <c r="G278">
        <v>43.92</v>
      </c>
      <c r="H278">
        <v>28.09</v>
      </c>
      <c r="I278" t="s">
        <v>537</v>
      </c>
    </row>
    <row r="279" spans="1:9" x14ac:dyDescent="0.3">
      <c r="A279">
        <v>278</v>
      </c>
      <c r="B279" t="s">
        <v>325</v>
      </c>
      <c r="C279" t="s">
        <v>16</v>
      </c>
      <c r="D279" t="s">
        <v>534</v>
      </c>
      <c r="E279" t="s">
        <v>542</v>
      </c>
      <c r="F279" t="s">
        <v>541</v>
      </c>
      <c r="G279">
        <v>50.41</v>
      </c>
      <c r="H279">
        <v>29.99</v>
      </c>
      <c r="I279" t="s">
        <v>537</v>
      </c>
    </row>
    <row r="280" spans="1:9" x14ac:dyDescent="0.3">
      <c r="A280">
        <v>279</v>
      </c>
      <c r="B280" t="s">
        <v>326</v>
      </c>
      <c r="C280" t="s">
        <v>19</v>
      </c>
      <c r="D280" t="s">
        <v>534</v>
      </c>
      <c r="E280" t="s">
        <v>543</v>
      </c>
      <c r="F280" t="s">
        <v>536</v>
      </c>
      <c r="G280">
        <v>51.58</v>
      </c>
      <c r="H280">
        <v>31.49</v>
      </c>
      <c r="I280" t="s">
        <v>537</v>
      </c>
    </row>
    <row r="281" spans="1:9" x14ac:dyDescent="0.3">
      <c r="A281">
        <v>280</v>
      </c>
      <c r="B281" t="s">
        <v>54</v>
      </c>
      <c r="C281" t="s">
        <v>16</v>
      </c>
      <c r="D281" t="s">
        <v>534</v>
      </c>
      <c r="E281" t="s">
        <v>535</v>
      </c>
      <c r="F281" t="s">
        <v>545</v>
      </c>
      <c r="G281">
        <v>44.14</v>
      </c>
      <c r="H281">
        <v>28.19</v>
      </c>
      <c r="I281" t="s">
        <v>537</v>
      </c>
    </row>
    <row r="282" spans="1:9" x14ac:dyDescent="0.3">
      <c r="A282">
        <v>281</v>
      </c>
      <c r="B282" t="s">
        <v>327</v>
      </c>
      <c r="C282" t="s">
        <v>20</v>
      </c>
      <c r="D282" t="s">
        <v>534</v>
      </c>
      <c r="E282" t="s">
        <v>540</v>
      </c>
      <c r="F282" t="s">
        <v>541</v>
      </c>
      <c r="G282">
        <v>65.94</v>
      </c>
      <c r="H282">
        <v>43.98</v>
      </c>
      <c r="I282" t="s">
        <v>537</v>
      </c>
    </row>
    <row r="283" spans="1:9" x14ac:dyDescent="0.3">
      <c r="A283">
        <v>282</v>
      </c>
      <c r="B283" t="s">
        <v>328</v>
      </c>
      <c r="C283" t="s">
        <v>20</v>
      </c>
      <c r="D283" t="s">
        <v>534</v>
      </c>
      <c r="E283" t="s">
        <v>542</v>
      </c>
      <c r="F283" t="s">
        <v>539</v>
      </c>
      <c r="G283">
        <v>52.12</v>
      </c>
      <c r="H283">
        <v>26.13</v>
      </c>
      <c r="I283" t="s">
        <v>537</v>
      </c>
    </row>
    <row r="284" spans="1:9" x14ac:dyDescent="0.3">
      <c r="A284">
        <v>283</v>
      </c>
      <c r="B284" t="s">
        <v>329</v>
      </c>
      <c r="C284" t="s">
        <v>17</v>
      </c>
      <c r="D284" t="s">
        <v>534</v>
      </c>
      <c r="E284" t="s">
        <v>542</v>
      </c>
      <c r="F284">
        <v>38</v>
      </c>
      <c r="G284">
        <v>39.619999999999997</v>
      </c>
      <c r="H284">
        <v>20.309999999999999</v>
      </c>
      <c r="I284" t="s">
        <v>537</v>
      </c>
    </row>
    <row r="285" spans="1:9" x14ac:dyDescent="0.3">
      <c r="A285">
        <v>284</v>
      </c>
      <c r="B285" t="s">
        <v>330</v>
      </c>
      <c r="C285" t="s">
        <v>17</v>
      </c>
      <c r="D285" t="s">
        <v>534</v>
      </c>
      <c r="E285" t="s">
        <v>538</v>
      </c>
      <c r="F285">
        <v>35</v>
      </c>
      <c r="G285">
        <v>81.790000000000006</v>
      </c>
      <c r="H285">
        <v>35.020000000000003</v>
      </c>
      <c r="I285" t="s">
        <v>537</v>
      </c>
    </row>
    <row r="286" spans="1:9" x14ac:dyDescent="0.3">
      <c r="A286">
        <v>285</v>
      </c>
      <c r="B286" t="s">
        <v>331</v>
      </c>
      <c r="C286" t="s">
        <v>18</v>
      </c>
      <c r="D286" t="s">
        <v>534</v>
      </c>
      <c r="E286" t="s">
        <v>542</v>
      </c>
      <c r="F286" t="s">
        <v>545</v>
      </c>
      <c r="G286">
        <v>40.630000000000003</v>
      </c>
      <c r="H286">
        <v>23.3</v>
      </c>
      <c r="I286" t="s">
        <v>537</v>
      </c>
    </row>
    <row r="287" spans="1:9" x14ac:dyDescent="0.3">
      <c r="A287">
        <v>286</v>
      </c>
      <c r="B287" t="s">
        <v>332</v>
      </c>
      <c r="C287" t="s">
        <v>17</v>
      </c>
      <c r="D287" t="s">
        <v>534</v>
      </c>
      <c r="E287" t="s">
        <v>540</v>
      </c>
      <c r="F287">
        <v>36</v>
      </c>
      <c r="G287">
        <v>58.91</v>
      </c>
      <c r="H287">
        <v>24.2</v>
      </c>
      <c r="I287" t="s">
        <v>537</v>
      </c>
    </row>
    <row r="288" spans="1:9" x14ac:dyDescent="0.3">
      <c r="A288">
        <v>287</v>
      </c>
      <c r="B288" t="s">
        <v>333</v>
      </c>
      <c r="C288" t="s">
        <v>19</v>
      </c>
      <c r="D288" t="s">
        <v>534</v>
      </c>
      <c r="E288" t="s">
        <v>540</v>
      </c>
      <c r="F288" t="s">
        <v>539</v>
      </c>
      <c r="G288">
        <v>60.34</v>
      </c>
      <c r="H288">
        <v>32.56</v>
      </c>
      <c r="I288" t="s">
        <v>537</v>
      </c>
    </row>
    <row r="289" spans="1:9" x14ac:dyDescent="0.3">
      <c r="A289">
        <v>288</v>
      </c>
      <c r="B289" t="s">
        <v>334</v>
      </c>
      <c r="C289" t="s">
        <v>16</v>
      </c>
      <c r="D289" t="s">
        <v>534</v>
      </c>
      <c r="E289" t="s">
        <v>543</v>
      </c>
      <c r="F289" t="s">
        <v>541</v>
      </c>
      <c r="G289">
        <v>57.11</v>
      </c>
      <c r="H289">
        <v>32.14</v>
      </c>
      <c r="I289" t="s">
        <v>537</v>
      </c>
    </row>
    <row r="290" spans="1:9" x14ac:dyDescent="0.3">
      <c r="A290">
        <v>289</v>
      </c>
      <c r="B290" t="s">
        <v>335</v>
      </c>
      <c r="C290" t="s">
        <v>18</v>
      </c>
      <c r="D290" t="s">
        <v>534</v>
      </c>
      <c r="E290" t="s">
        <v>538</v>
      </c>
      <c r="F290" t="s">
        <v>545</v>
      </c>
      <c r="G290">
        <v>41.51</v>
      </c>
      <c r="H290">
        <v>20.170000000000002</v>
      </c>
      <c r="I290" t="s">
        <v>537</v>
      </c>
    </row>
    <row r="291" spans="1:9" x14ac:dyDescent="0.3">
      <c r="A291">
        <v>290</v>
      </c>
      <c r="B291" t="s">
        <v>55</v>
      </c>
      <c r="C291" t="s">
        <v>19</v>
      </c>
      <c r="D291" t="s">
        <v>534</v>
      </c>
      <c r="E291" t="s">
        <v>540</v>
      </c>
      <c r="F291" t="s">
        <v>539</v>
      </c>
      <c r="G291">
        <v>50.86</v>
      </c>
      <c r="H291">
        <v>29.36</v>
      </c>
      <c r="I291" t="s">
        <v>537</v>
      </c>
    </row>
    <row r="292" spans="1:9" x14ac:dyDescent="0.3">
      <c r="A292">
        <v>291</v>
      </c>
      <c r="B292" t="s">
        <v>336</v>
      </c>
      <c r="C292" t="s">
        <v>17</v>
      </c>
      <c r="D292" t="s">
        <v>534</v>
      </c>
      <c r="E292" t="s">
        <v>535</v>
      </c>
      <c r="F292" t="s">
        <v>545</v>
      </c>
      <c r="G292">
        <v>59.56</v>
      </c>
      <c r="H292">
        <v>24.37</v>
      </c>
      <c r="I292" t="s">
        <v>537</v>
      </c>
    </row>
    <row r="293" spans="1:9" x14ac:dyDescent="0.3">
      <c r="A293">
        <v>292</v>
      </c>
      <c r="B293" t="s">
        <v>337</v>
      </c>
      <c r="C293" t="s">
        <v>16</v>
      </c>
      <c r="D293" t="s">
        <v>534</v>
      </c>
      <c r="E293" t="s">
        <v>538</v>
      </c>
      <c r="F293" t="s">
        <v>545</v>
      </c>
      <c r="G293">
        <v>40.119999999999997</v>
      </c>
      <c r="H293">
        <v>16.5</v>
      </c>
      <c r="I293" t="s">
        <v>537</v>
      </c>
    </row>
    <row r="294" spans="1:9" x14ac:dyDescent="0.3">
      <c r="A294">
        <v>293</v>
      </c>
      <c r="B294" t="s">
        <v>56</v>
      </c>
      <c r="C294" t="s">
        <v>17</v>
      </c>
      <c r="D294" t="s">
        <v>534</v>
      </c>
      <c r="E294" t="s">
        <v>540</v>
      </c>
      <c r="F294" t="s">
        <v>545</v>
      </c>
      <c r="G294">
        <v>40.770000000000003</v>
      </c>
      <c r="H294">
        <v>26.37</v>
      </c>
      <c r="I294" t="s">
        <v>537</v>
      </c>
    </row>
    <row r="295" spans="1:9" x14ac:dyDescent="0.3">
      <c r="A295">
        <v>294</v>
      </c>
      <c r="B295" t="s">
        <v>338</v>
      </c>
      <c r="C295" t="s">
        <v>17</v>
      </c>
      <c r="D295" t="s">
        <v>534</v>
      </c>
      <c r="E295" t="s">
        <v>535</v>
      </c>
      <c r="F295" t="s">
        <v>545</v>
      </c>
      <c r="G295">
        <v>56.69</v>
      </c>
      <c r="H295">
        <v>28.8</v>
      </c>
      <c r="I295" t="s">
        <v>537</v>
      </c>
    </row>
    <row r="296" spans="1:9" x14ac:dyDescent="0.3">
      <c r="A296">
        <v>295</v>
      </c>
      <c r="B296" t="s">
        <v>339</v>
      </c>
      <c r="C296" t="s">
        <v>20</v>
      </c>
      <c r="D296" t="s">
        <v>534</v>
      </c>
      <c r="E296" t="s">
        <v>543</v>
      </c>
      <c r="F296" t="s">
        <v>544</v>
      </c>
      <c r="G296">
        <v>48.73</v>
      </c>
      <c r="H296">
        <v>21.35</v>
      </c>
      <c r="I296" t="s">
        <v>537</v>
      </c>
    </row>
    <row r="297" spans="1:9" x14ac:dyDescent="0.3">
      <c r="A297">
        <v>296</v>
      </c>
      <c r="B297" t="s">
        <v>340</v>
      </c>
      <c r="C297" t="s">
        <v>18</v>
      </c>
      <c r="D297" t="s">
        <v>534</v>
      </c>
      <c r="E297" t="s">
        <v>543</v>
      </c>
      <c r="F297" t="s">
        <v>541</v>
      </c>
      <c r="G297">
        <v>67.069999999999993</v>
      </c>
      <c r="H297">
        <v>37.340000000000003</v>
      </c>
      <c r="I297" t="s">
        <v>537</v>
      </c>
    </row>
    <row r="298" spans="1:9" x14ac:dyDescent="0.3">
      <c r="A298">
        <v>297</v>
      </c>
      <c r="B298" t="s">
        <v>341</v>
      </c>
      <c r="C298" t="s">
        <v>17</v>
      </c>
      <c r="D298" t="s">
        <v>534</v>
      </c>
      <c r="E298" t="s">
        <v>540</v>
      </c>
      <c r="F298">
        <v>35</v>
      </c>
      <c r="G298">
        <v>65.17</v>
      </c>
      <c r="H298">
        <v>41.12</v>
      </c>
      <c r="I298" t="s">
        <v>537</v>
      </c>
    </row>
    <row r="299" spans="1:9" x14ac:dyDescent="0.3">
      <c r="A299">
        <v>298</v>
      </c>
      <c r="B299" t="s">
        <v>342</v>
      </c>
      <c r="C299" t="s">
        <v>17</v>
      </c>
      <c r="D299" t="s">
        <v>534</v>
      </c>
      <c r="E299" t="s">
        <v>543</v>
      </c>
      <c r="F299" t="s">
        <v>545</v>
      </c>
      <c r="G299">
        <v>33.94</v>
      </c>
      <c r="H299">
        <v>15.77</v>
      </c>
      <c r="I299" t="s">
        <v>537</v>
      </c>
    </row>
    <row r="300" spans="1:9" x14ac:dyDescent="0.3">
      <c r="A300">
        <v>299</v>
      </c>
      <c r="B300" t="s">
        <v>343</v>
      </c>
      <c r="C300" t="s">
        <v>18</v>
      </c>
      <c r="D300" t="s">
        <v>534</v>
      </c>
      <c r="E300" t="s">
        <v>542</v>
      </c>
      <c r="F300" t="s">
        <v>536</v>
      </c>
      <c r="G300">
        <v>52.65</v>
      </c>
      <c r="H300">
        <v>30.9</v>
      </c>
      <c r="I300" t="s">
        <v>537</v>
      </c>
    </row>
    <row r="301" spans="1:9" x14ac:dyDescent="0.3">
      <c r="A301">
        <v>300</v>
      </c>
      <c r="B301" t="s">
        <v>344</v>
      </c>
      <c r="C301" t="s">
        <v>17</v>
      </c>
      <c r="D301" t="s">
        <v>534</v>
      </c>
      <c r="E301" t="s">
        <v>543</v>
      </c>
      <c r="F301">
        <v>36</v>
      </c>
      <c r="G301">
        <v>48.88</v>
      </c>
      <c r="H301">
        <v>20.8</v>
      </c>
      <c r="I301" t="s">
        <v>537</v>
      </c>
    </row>
    <row r="302" spans="1:9" x14ac:dyDescent="0.3">
      <c r="A302">
        <v>301</v>
      </c>
      <c r="B302" t="s">
        <v>345</v>
      </c>
      <c r="C302" t="s">
        <v>18</v>
      </c>
      <c r="D302" t="s">
        <v>534</v>
      </c>
      <c r="E302" t="s">
        <v>542</v>
      </c>
      <c r="F302" t="s">
        <v>541</v>
      </c>
      <c r="G302">
        <v>48.72</v>
      </c>
      <c r="H302">
        <v>20.239999999999998</v>
      </c>
      <c r="I302" t="s">
        <v>537</v>
      </c>
    </row>
    <row r="303" spans="1:9" x14ac:dyDescent="0.3">
      <c r="A303">
        <v>302</v>
      </c>
      <c r="B303" t="s">
        <v>346</v>
      </c>
      <c r="C303" t="s">
        <v>16</v>
      </c>
      <c r="D303" t="s">
        <v>534</v>
      </c>
      <c r="E303" t="s">
        <v>535</v>
      </c>
      <c r="F303" t="s">
        <v>545</v>
      </c>
      <c r="G303">
        <v>43.4</v>
      </c>
      <c r="H303">
        <v>24.28</v>
      </c>
      <c r="I303" t="s">
        <v>537</v>
      </c>
    </row>
    <row r="304" spans="1:9" x14ac:dyDescent="0.3">
      <c r="A304">
        <v>303</v>
      </c>
      <c r="B304" t="s">
        <v>347</v>
      </c>
      <c r="C304" t="s">
        <v>19</v>
      </c>
      <c r="D304" t="s">
        <v>534</v>
      </c>
      <c r="E304" t="s">
        <v>535</v>
      </c>
      <c r="F304" t="s">
        <v>539</v>
      </c>
      <c r="G304">
        <v>56.58</v>
      </c>
      <c r="H304">
        <v>31.81</v>
      </c>
      <c r="I304" t="s">
        <v>537</v>
      </c>
    </row>
    <row r="305" spans="1:9" x14ac:dyDescent="0.3">
      <c r="A305">
        <v>304</v>
      </c>
      <c r="B305" t="s">
        <v>348</v>
      </c>
      <c r="C305" t="s">
        <v>16</v>
      </c>
      <c r="D305" t="s">
        <v>534</v>
      </c>
      <c r="E305" t="s">
        <v>543</v>
      </c>
      <c r="F305" t="s">
        <v>539</v>
      </c>
      <c r="G305">
        <v>54.88</v>
      </c>
      <c r="H305">
        <v>32.450000000000003</v>
      </c>
      <c r="I305" t="s">
        <v>537</v>
      </c>
    </row>
    <row r="306" spans="1:9" x14ac:dyDescent="0.3">
      <c r="A306">
        <v>305</v>
      </c>
      <c r="B306" t="s">
        <v>349</v>
      </c>
      <c r="C306" t="s">
        <v>20</v>
      </c>
      <c r="D306" t="s">
        <v>534</v>
      </c>
      <c r="E306" t="s">
        <v>540</v>
      </c>
      <c r="F306" t="s">
        <v>544</v>
      </c>
      <c r="G306">
        <v>60.79</v>
      </c>
      <c r="H306">
        <v>37.56</v>
      </c>
      <c r="I306" t="s">
        <v>537</v>
      </c>
    </row>
    <row r="307" spans="1:9" x14ac:dyDescent="0.3">
      <c r="A307">
        <v>306</v>
      </c>
      <c r="B307" t="s">
        <v>57</v>
      </c>
      <c r="C307" t="s">
        <v>19</v>
      </c>
      <c r="D307" t="s">
        <v>534</v>
      </c>
      <c r="E307" t="s">
        <v>535</v>
      </c>
      <c r="F307" t="s">
        <v>545</v>
      </c>
      <c r="G307">
        <v>74.67</v>
      </c>
      <c r="H307">
        <v>51.73</v>
      </c>
      <c r="I307" t="s">
        <v>537</v>
      </c>
    </row>
    <row r="308" spans="1:9" x14ac:dyDescent="0.3">
      <c r="A308">
        <v>307</v>
      </c>
      <c r="B308" t="s">
        <v>350</v>
      </c>
      <c r="C308" t="s">
        <v>16</v>
      </c>
      <c r="D308" t="s">
        <v>534</v>
      </c>
      <c r="E308" t="s">
        <v>538</v>
      </c>
      <c r="F308" t="s">
        <v>536</v>
      </c>
      <c r="G308">
        <v>66.87</v>
      </c>
      <c r="H308">
        <v>37.11</v>
      </c>
      <c r="I308" t="s">
        <v>537</v>
      </c>
    </row>
    <row r="309" spans="1:9" x14ac:dyDescent="0.3">
      <c r="A309">
        <v>308</v>
      </c>
      <c r="B309" t="s">
        <v>351</v>
      </c>
      <c r="C309" t="s">
        <v>20</v>
      </c>
      <c r="D309" t="s">
        <v>534</v>
      </c>
      <c r="E309" t="s">
        <v>542</v>
      </c>
      <c r="F309" t="s">
        <v>544</v>
      </c>
      <c r="G309">
        <v>43.27</v>
      </c>
      <c r="H309">
        <v>21.5</v>
      </c>
      <c r="I309" t="s">
        <v>537</v>
      </c>
    </row>
    <row r="310" spans="1:9" x14ac:dyDescent="0.3">
      <c r="A310">
        <v>309</v>
      </c>
      <c r="B310" t="s">
        <v>58</v>
      </c>
      <c r="C310" t="s">
        <v>18</v>
      </c>
      <c r="D310" t="s">
        <v>534</v>
      </c>
      <c r="E310" t="s">
        <v>542</v>
      </c>
      <c r="F310" t="s">
        <v>541</v>
      </c>
      <c r="G310">
        <v>42.14</v>
      </c>
      <c r="H310">
        <v>26.91</v>
      </c>
      <c r="I310" t="s">
        <v>537</v>
      </c>
    </row>
    <row r="311" spans="1:9" x14ac:dyDescent="0.3">
      <c r="A311">
        <v>310</v>
      </c>
      <c r="B311" t="s">
        <v>352</v>
      </c>
      <c r="C311" t="s">
        <v>20</v>
      </c>
      <c r="D311" t="s">
        <v>534</v>
      </c>
      <c r="E311" t="s">
        <v>535</v>
      </c>
      <c r="F311" t="s">
        <v>544</v>
      </c>
      <c r="G311">
        <v>72.099999999999994</v>
      </c>
      <c r="H311">
        <v>34.700000000000003</v>
      </c>
      <c r="I311" t="s">
        <v>537</v>
      </c>
    </row>
    <row r="312" spans="1:9" x14ac:dyDescent="0.3">
      <c r="A312">
        <v>311</v>
      </c>
      <c r="B312" t="s">
        <v>353</v>
      </c>
      <c r="C312" t="s">
        <v>18</v>
      </c>
      <c r="D312" t="s">
        <v>534</v>
      </c>
      <c r="E312" t="s">
        <v>538</v>
      </c>
      <c r="F312" t="s">
        <v>539</v>
      </c>
      <c r="G312">
        <v>43.38</v>
      </c>
      <c r="H312">
        <v>23.06</v>
      </c>
      <c r="I312" t="s">
        <v>537</v>
      </c>
    </row>
    <row r="313" spans="1:9" x14ac:dyDescent="0.3">
      <c r="A313">
        <v>312</v>
      </c>
      <c r="B313" t="s">
        <v>354</v>
      </c>
      <c r="C313" t="s">
        <v>18</v>
      </c>
      <c r="D313" t="s">
        <v>534</v>
      </c>
      <c r="E313" t="s">
        <v>542</v>
      </c>
      <c r="F313" t="s">
        <v>539</v>
      </c>
      <c r="G313">
        <v>43.84</v>
      </c>
      <c r="H313">
        <v>18.57</v>
      </c>
      <c r="I313" t="s">
        <v>537</v>
      </c>
    </row>
    <row r="314" spans="1:9" x14ac:dyDescent="0.3">
      <c r="A314">
        <v>313</v>
      </c>
      <c r="B314" t="s">
        <v>59</v>
      </c>
      <c r="C314" t="s">
        <v>19</v>
      </c>
      <c r="D314" t="s">
        <v>534</v>
      </c>
      <c r="E314" t="s">
        <v>542</v>
      </c>
      <c r="F314" t="s">
        <v>544</v>
      </c>
      <c r="G314">
        <v>35.69</v>
      </c>
      <c r="H314">
        <v>14.55</v>
      </c>
      <c r="I314" t="s">
        <v>537</v>
      </c>
    </row>
    <row r="315" spans="1:9" x14ac:dyDescent="0.3">
      <c r="A315">
        <v>314</v>
      </c>
      <c r="B315" t="s">
        <v>355</v>
      </c>
      <c r="C315" t="s">
        <v>19</v>
      </c>
      <c r="D315" t="s">
        <v>534</v>
      </c>
      <c r="E315" t="s">
        <v>535</v>
      </c>
      <c r="F315" t="s">
        <v>541</v>
      </c>
      <c r="G315">
        <v>56.29</v>
      </c>
      <c r="H315">
        <v>38.770000000000003</v>
      </c>
      <c r="I315" t="s">
        <v>537</v>
      </c>
    </row>
    <row r="316" spans="1:9" x14ac:dyDescent="0.3">
      <c r="A316">
        <v>315</v>
      </c>
      <c r="B316" t="s">
        <v>356</v>
      </c>
      <c r="C316" t="s">
        <v>16</v>
      </c>
      <c r="D316" t="s">
        <v>534</v>
      </c>
      <c r="E316" t="s">
        <v>540</v>
      </c>
      <c r="F316" t="s">
        <v>536</v>
      </c>
      <c r="G316">
        <v>67.02</v>
      </c>
      <c r="H316">
        <v>43.62</v>
      </c>
      <c r="I316" t="s">
        <v>537</v>
      </c>
    </row>
    <row r="317" spans="1:9" x14ac:dyDescent="0.3">
      <c r="A317">
        <v>316</v>
      </c>
      <c r="B317" t="s">
        <v>357</v>
      </c>
      <c r="C317" t="s">
        <v>16</v>
      </c>
      <c r="D317" t="s">
        <v>534</v>
      </c>
      <c r="E317" t="s">
        <v>542</v>
      </c>
      <c r="F317" t="s">
        <v>545</v>
      </c>
      <c r="G317">
        <v>45.73</v>
      </c>
      <c r="H317">
        <v>27.84</v>
      </c>
      <c r="I317" t="s">
        <v>537</v>
      </c>
    </row>
    <row r="318" spans="1:9" x14ac:dyDescent="0.3">
      <c r="A318">
        <v>317</v>
      </c>
      <c r="B318" t="s">
        <v>358</v>
      </c>
      <c r="C318" t="s">
        <v>19</v>
      </c>
      <c r="D318" t="s">
        <v>534</v>
      </c>
      <c r="E318" t="s">
        <v>543</v>
      </c>
      <c r="F318" t="s">
        <v>539</v>
      </c>
      <c r="G318">
        <v>62.63</v>
      </c>
      <c r="H318">
        <v>32.74</v>
      </c>
      <c r="I318" t="s">
        <v>537</v>
      </c>
    </row>
    <row r="319" spans="1:9" x14ac:dyDescent="0.3">
      <c r="A319">
        <v>318</v>
      </c>
      <c r="B319" t="s">
        <v>359</v>
      </c>
      <c r="C319" t="s">
        <v>16</v>
      </c>
      <c r="D319" t="s">
        <v>534</v>
      </c>
      <c r="E319" t="s">
        <v>538</v>
      </c>
      <c r="F319" t="s">
        <v>536</v>
      </c>
      <c r="G319">
        <v>37.549999999999997</v>
      </c>
      <c r="H319">
        <v>16.97</v>
      </c>
      <c r="I319" t="s">
        <v>537</v>
      </c>
    </row>
    <row r="320" spans="1:9" x14ac:dyDescent="0.3">
      <c r="A320">
        <v>319</v>
      </c>
      <c r="B320" t="s">
        <v>360</v>
      </c>
      <c r="C320" t="s">
        <v>18</v>
      </c>
      <c r="D320" t="s">
        <v>534</v>
      </c>
      <c r="E320" t="s">
        <v>542</v>
      </c>
      <c r="F320" t="s">
        <v>541</v>
      </c>
      <c r="G320">
        <v>24.05</v>
      </c>
      <c r="H320">
        <v>10.75</v>
      </c>
      <c r="I320" t="s">
        <v>537</v>
      </c>
    </row>
    <row r="321" spans="1:9" x14ac:dyDescent="0.3">
      <c r="A321">
        <v>320</v>
      </c>
      <c r="B321" t="s">
        <v>60</v>
      </c>
      <c r="C321" t="s">
        <v>18</v>
      </c>
      <c r="D321" t="s">
        <v>534</v>
      </c>
      <c r="E321" t="s">
        <v>540</v>
      </c>
      <c r="F321" t="s">
        <v>536</v>
      </c>
      <c r="G321">
        <v>74.260000000000005</v>
      </c>
      <c r="H321">
        <v>35.28</v>
      </c>
      <c r="I321" t="s">
        <v>537</v>
      </c>
    </row>
    <row r="322" spans="1:9" x14ac:dyDescent="0.3">
      <c r="A322">
        <v>321</v>
      </c>
      <c r="B322" t="s">
        <v>361</v>
      </c>
      <c r="C322" t="s">
        <v>20</v>
      </c>
      <c r="D322" t="s">
        <v>534</v>
      </c>
      <c r="E322" t="s">
        <v>538</v>
      </c>
      <c r="F322" t="s">
        <v>545</v>
      </c>
      <c r="G322">
        <v>58.09</v>
      </c>
      <c r="H322">
        <v>32.81</v>
      </c>
      <c r="I322" t="s">
        <v>537</v>
      </c>
    </row>
    <row r="323" spans="1:9" x14ac:dyDescent="0.3">
      <c r="A323">
        <v>322</v>
      </c>
      <c r="B323" t="s">
        <v>362</v>
      </c>
      <c r="C323" t="s">
        <v>18</v>
      </c>
      <c r="D323" t="s">
        <v>534</v>
      </c>
      <c r="E323" t="s">
        <v>543</v>
      </c>
      <c r="F323" t="s">
        <v>536</v>
      </c>
      <c r="G323">
        <v>44.45</v>
      </c>
      <c r="H323">
        <v>27.31</v>
      </c>
      <c r="I323" t="s">
        <v>537</v>
      </c>
    </row>
    <row r="324" spans="1:9" x14ac:dyDescent="0.3">
      <c r="A324">
        <v>323</v>
      </c>
      <c r="B324" t="s">
        <v>363</v>
      </c>
      <c r="C324" t="s">
        <v>16</v>
      </c>
      <c r="D324" t="s">
        <v>534</v>
      </c>
      <c r="E324" t="s">
        <v>540</v>
      </c>
      <c r="F324" t="s">
        <v>545</v>
      </c>
      <c r="G324">
        <v>62.34</v>
      </c>
      <c r="H324">
        <v>37.28</v>
      </c>
      <c r="I324" t="s">
        <v>537</v>
      </c>
    </row>
    <row r="325" spans="1:9" x14ac:dyDescent="0.3">
      <c r="A325">
        <v>324</v>
      </c>
      <c r="B325" t="s">
        <v>364</v>
      </c>
      <c r="C325" t="s">
        <v>16</v>
      </c>
      <c r="D325" t="s">
        <v>534</v>
      </c>
      <c r="E325" t="s">
        <v>535</v>
      </c>
      <c r="F325" t="s">
        <v>536</v>
      </c>
      <c r="G325">
        <v>60.31</v>
      </c>
      <c r="H325">
        <v>29.19</v>
      </c>
      <c r="I325" t="s">
        <v>537</v>
      </c>
    </row>
    <row r="326" spans="1:9" x14ac:dyDescent="0.3">
      <c r="A326">
        <v>325</v>
      </c>
      <c r="B326" t="s">
        <v>365</v>
      </c>
      <c r="C326" t="s">
        <v>17</v>
      </c>
      <c r="D326" t="s">
        <v>534</v>
      </c>
      <c r="E326" t="s">
        <v>542</v>
      </c>
      <c r="F326">
        <v>35</v>
      </c>
      <c r="G326">
        <v>39.78</v>
      </c>
      <c r="H326">
        <v>27.31</v>
      </c>
      <c r="I326" t="s">
        <v>537</v>
      </c>
    </row>
    <row r="327" spans="1:9" x14ac:dyDescent="0.3">
      <c r="A327">
        <v>326</v>
      </c>
      <c r="B327" t="s">
        <v>366</v>
      </c>
      <c r="C327" t="s">
        <v>18</v>
      </c>
      <c r="D327" t="s">
        <v>534</v>
      </c>
      <c r="E327" t="s">
        <v>538</v>
      </c>
      <c r="F327" t="s">
        <v>536</v>
      </c>
      <c r="G327">
        <v>56.7</v>
      </c>
      <c r="H327">
        <v>35.229999999999997</v>
      </c>
      <c r="I327" t="s">
        <v>537</v>
      </c>
    </row>
    <row r="328" spans="1:9" x14ac:dyDescent="0.3">
      <c r="A328">
        <v>327</v>
      </c>
      <c r="B328" t="s">
        <v>367</v>
      </c>
      <c r="C328" t="s">
        <v>18</v>
      </c>
      <c r="D328" t="s">
        <v>534</v>
      </c>
      <c r="E328" t="s">
        <v>535</v>
      </c>
      <c r="F328" t="s">
        <v>541</v>
      </c>
      <c r="G328">
        <v>74.239999999999995</v>
      </c>
      <c r="H328">
        <v>42.04</v>
      </c>
      <c r="I328" t="s">
        <v>537</v>
      </c>
    </row>
    <row r="329" spans="1:9" x14ac:dyDescent="0.3">
      <c r="A329">
        <v>328</v>
      </c>
      <c r="B329" t="s">
        <v>368</v>
      </c>
      <c r="C329" t="s">
        <v>18</v>
      </c>
      <c r="D329" t="s">
        <v>534</v>
      </c>
      <c r="E329" t="s">
        <v>538</v>
      </c>
      <c r="F329" t="s">
        <v>545</v>
      </c>
      <c r="G329">
        <v>39.83</v>
      </c>
      <c r="H329">
        <v>23.24</v>
      </c>
      <c r="I329" t="s">
        <v>537</v>
      </c>
    </row>
    <row r="330" spans="1:9" x14ac:dyDescent="0.3">
      <c r="A330">
        <v>329</v>
      </c>
      <c r="B330" t="s">
        <v>369</v>
      </c>
      <c r="C330" t="s">
        <v>19</v>
      </c>
      <c r="D330" t="s">
        <v>534</v>
      </c>
      <c r="E330" t="s">
        <v>540</v>
      </c>
      <c r="F330" t="s">
        <v>545</v>
      </c>
      <c r="G330">
        <v>43.09</v>
      </c>
      <c r="H330">
        <v>22.66</v>
      </c>
      <c r="I330" t="s">
        <v>537</v>
      </c>
    </row>
    <row r="331" spans="1:9" x14ac:dyDescent="0.3">
      <c r="A331">
        <v>330</v>
      </c>
      <c r="B331" t="s">
        <v>370</v>
      </c>
      <c r="C331" t="s">
        <v>19</v>
      </c>
      <c r="D331" t="s">
        <v>534</v>
      </c>
      <c r="E331" t="s">
        <v>540</v>
      </c>
      <c r="F331" t="s">
        <v>545</v>
      </c>
      <c r="G331">
        <v>33.94</v>
      </c>
      <c r="H331">
        <v>16.100000000000001</v>
      </c>
      <c r="I331" t="s">
        <v>537</v>
      </c>
    </row>
    <row r="332" spans="1:9" x14ac:dyDescent="0.3">
      <c r="A332">
        <v>331</v>
      </c>
      <c r="B332" t="s">
        <v>371</v>
      </c>
      <c r="C332" t="s">
        <v>20</v>
      </c>
      <c r="D332" t="s">
        <v>534</v>
      </c>
      <c r="E332" t="s">
        <v>543</v>
      </c>
      <c r="F332" t="s">
        <v>544</v>
      </c>
      <c r="G332">
        <v>53.34</v>
      </c>
      <c r="H332">
        <v>27.03</v>
      </c>
      <c r="I332" t="s">
        <v>537</v>
      </c>
    </row>
    <row r="333" spans="1:9" x14ac:dyDescent="0.3">
      <c r="A333">
        <v>332</v>
      </c>
      <c r="B333" t="s">
        <v>61</v>
      </c>
      <c r="C333" t="s">
        <v>18</v>
      </c>
      <c r="D333" t="s">
        <v>534</v>
      </c>
      <c r="E333" t="s">
        <v>540</v>
      </c>
      <c r="F333" t="s">
        <v>539</v>
      </c>
      <c r="G333">
        <v>65.88</v>
      </c>
      <c r="H333">
        <v>41.33</v>
      </c>
      <c r="I333" t="s">
        <v>537</v>
      </c>
    </row>
    <row r="334" spans="1:9" x14ac:dyDescent="0.3">
      <c r="A334">
        <v>333</v>
      </c>
      <c r="B334" t="s">
        <v>372</v>
      </c>
      <c r="C334" t="s">
        <v>20</v>
      </c>
      <c r="D334" t="s">
        <v>534</v>
      </c>
      <c r="E334" t="s">
        <v>542</v>
      </c>
      <c r="F334" t="s">
        <v>536</v>
      </c>
      <c r="G334">
        <v>46.04</v>
      </c>
      <c r="H334">
        <v>18.61</v>
      </c>
      <c r="I334" t="s">
        <v>537</v>
      </c>
    </row>
    <row r="335" spans="1:9" x14ac:dyDescent="0.3">
      <c r="A335">
        <v>334</v>
      </c>
      <c r="B335" t="s">
        <v>373</v>
      </c>
      <c r="C335" t="s">
        <v>18</v>
      </c>
      <c r="D335" t="s">
        <v>534</v>
      </c>
      <c r="E335" t="s">
        <v>543</v>
      </c>
      <c r="F335" t="s">
        <v>541</v>
      </c>
      <c r="G335">
        <v>20.82</v>
      </c>
      <c r="H335">
        <v>9.0500000000000007</v>
      </c>
      <c r="I335" t="s">
        <v>537</v>
      </c>
    </row>
    <row r="336" spans="1:9" x14ac:dyDescent="0.3">
      <c r="A336">
        <v>335</v>
      </c>
      <c r="B336" t="s">
        <v>374</v>
      </c>
      <c r="C336" t="s">
        <v>17</v>
      </c>
      <c r="D336" t="s">
        <v>534</v>
      </c>
      <c r="E336" t="s">
        <v>540</v>
      </c>
      <c r="F336">
        <v>38</v>
      </c>
      <c r="G336">
        <v>45.97</v>
      </c>
      <c r="H336">
        <v>19.02</v>
      </c>
      <c r="I336" t="s">
        <v>537</v>
      </c>
    </row>
    <row r="337" spans="1:9" x14ac:dyDescent="0.3">
      <c r="A337">
        <v>336</v>
      </c>
      <c r="B337" t="s">
        <v>375</v>
      </c>
      <c r="C337" t="s">
        <v>16</v>
      </c>
      <c r="D337" t="s">
        <v>534</v>
      </c>
      <c r="E337" t="s">
        <v>543</v>
      </c>
      <c r="F337" t="s">
        <v>539</v>
      </c>
      <c r="G337">
        <v>51.22</v>
      </c>
      <c r="H337">
        <v>21.11</v>
      </c>
      <c r="I337" t="s">
        <v>537</v>
      </c>
    </row>
    <row r="338" spans="1:9" x14ac:dyDescent="0.3">
      <c r="A338">
        <v>337</v>
      </c>
      <c r="B338" t="s">
        <v>376</v>
      </c>
      <c r="C338" t="s">
        <v>19</v>
      </c>
      <c r="D338" t="s">
        <v>534</v>
      </c>
      <c r="E338" t="s">
        <v>542</v>
      </c>
      <c r="F338" t="s">
        <v>541</v>
      </c>
      <c r="G338">
        <v>71.72</v>
      </c>
      <c r="H338">
        <v>47.09</v>
      </c>
      <c r="I338" t="s">
        <v>537</v>
      </c>
    </row>
    <row r="339" spans="1:9" x14ac:dyDescent="0.3">
      <c r="A339">
        <v>338</v>
      </c>
      <c r="B339" t="s">
        <v>377</v>
      </c>
      <c r="C339" t="s">
        <v>19</v>
      </c>
      <c r="D339" t="s">
        <v>534</v>
      </c>
      <c r="E339" t="s">
        <v>538</v>
      </c>
      <c r="F339" t="s">
        <v>541</v>
      </c>
      <c r="G339">
        <v>33.39</v>
      </c>
      <c r="H339">
        <v>20.399999999999999</v>
      </c>
      <c r="I339" t="s">
        <v>537</v>
      </c>
    </row>
    <row r="340" spans="1:9" x14ac:dyDescent="0.3">
      <c r="A340">
        <v>339</v>
      </c>
      <c r="B340" t="s">
        <v>378</v>
      </c>
      <c r="C340" t="s">
        <v>16</v>
      </c>
      <c r="D340" t="s">
        <v>534</v>
      </c>
      <c r="E340" t="s">
        <v>542</v>
      </c>
      <c r="F340" t="s">
        <v>536</v>
      </c>
      <c r="G340">
        <v>30.35</v>
      </c>
      <c r="H340">
        <v>16.46</v>
      </c>
      <c r="I340" t="s">
        <v>537</v>
      </c>
    </row>
    <row r="341" spans="1:9" x14ac:dyDescent="0.3">
      <c r="A341">
        <v>340</v>
      </c>
      <c r="B341" t="s">
        <v>379</v>
      </c>
      <c r="C341" t="s">
        <v>17</v>
      </c>
      <c r="D341" t="s">
        <v>534</v>
      </c>
      <c r="E341" t="s">
        <v>543</v>
      </c>
      <c r="F341" t="s">
        <v>545</v>
      </c>
      <c r="G341">
        <v>60.83</v>
      </c>
      <c r="H341">
        <v>26.12</v>
      </c>
      <c r="I341" t="s">
        <v>537</v>
      </c>
    </row>
    <row r="342" spans="1:9" x14ac:dyDescent="0.3">
      <c r="A342">
        <v>341</v>
      </c>
      <c r="B342" t="s">
        <v>62</v>
      </c>
      <c r="C342" t="s">
        <v>19</v>
      </c>
      <c r="D342" t="s">
        <v>534</v>
      </c>
      <c r="E342" t="s">
        <v>543</v>
      </c>
      <c r="F342" t="s">
        <v>539</v>
      </c>
      <c r="G342">
        <v>51.4</v>
      </c>
      <c r="H342">
        <v>28.14</v>
      </c>
      <c r="I342" t="s">
        <v>537</v>
      </c>
    </row>
    <row r="343" spans="1:9" x14ac:dyDescent="0.3">
      <c r="A343">
        <v>342</v>
      </c>
      <c r="B343" t="s">
        <v>380</v>
      </c>
      <c r="C343" t="s">
        <v>19</v>
      </c>
      <c r="D343" t="s">
        <v>534</v>
      </c>
      <c r="E343" t="s">
        <v>538</v>
      </c>
      <c r="F343" t="s">
        <v>545</v>
      </c>
      <c r="G343">
        <v>34.35</v>
      </c>
      <c r="H343">
        <v>18.62</v>
      </c>
      <c r="I343" t="s">
        <v>537</v>
      </c>
    </row>
    <row r="344" spans="1:9" x14ac:dyDescent="0.3">
      <c r="A344">
        <v>343</v>
      </c>
      <c r="B344" t="s">
        <v>381</v>
      </c>
      <c r="C344" t="s">
        <v>16</v>
      </c>
      <c r="D344" t="s">
        <v>534</v>
      </c>
      <c r="E344" t="s">
        <v>538</v>
      </c>
      <c r="F344" t="s">
        <v>544</v>
      </c>
      <c r="G344">
        <v>34.39</v>
      </c>
      <c r="H344">
        <v>15.54</v>
      </c>
      <c r="I344" t="s">
        <v>537</v>
      </c>
    </row>
    <row r="345" spans="1:9" x14ac:dyDescent="0.3">
      <c r="A345">
        <v>344</v>
      </c>
      <c r="B345" t="s">
        <v>63</v>
      </c>
      <c r="C345" t="s">
        <v>16</v>
      </c>
      <c r="D345" t="s">
        <v>534</v>
      </c>
      <c r="E345" t="s">
        <v>540</v>
      </c>
      <c r="F345" t="s">
        <v>539</v>
      </c>
      <c r="G345">
        <v>42.1</v>
      </c>
      <c r="H345">
        <v>22.32</v>
      </c>
      <c r="I345" t="s">
        <v>537</v>
      </c>
    </row>
    <row r="346" spans="1:9" x14ac:dyDescent="0.3">
      <c r="A346">
        <v>345</v>
      </c>
      <c r="B346" t="s">
        <v>382</v>
      </c>
      <c r="C346" t="s">
        <v>16</v>
      </c>
      <c r="D346" t="s">
        <v>534</v>
      </c>
      <c r="E346" t="s">
        <v>542</v>
      </c>
      <c r="F346" t="s">
        <v>536</v>
      </c>
      <c r="G346">
        <v>46.36</v>
      </c>
      <c r="H346">
        <v>24.09</v>
      </c>
      <c r="I346" t="s">
        <v>537</v>
      </c>
    </row>
    <row r="347" spans="1:9" x14ac:dyDescent="0.3">
      <c r="A347">
        <v>346</v>
      </c>
      <c r="B347" t="s">
        <v>383</v>
      </c>
      <c r="C347" t="s">
        <v>20</v>
      </c>
      <c r="D347" t="s">
        <v>534</v>
      </c>
      <c r="E347" t="s">
        <v>535</v>
      </c>
      <c r="F347" t="s">
        <v>539</v>
      </c>
      <c r="G347">
        <v>15.31</v>
      </c>
      <c r="H347">
        <v>8.9499999999999993</v>
      </c>
      <c r="I347" t="s">
        <v>537</v>
      </c>
    </row>
    <row r="348" spans="1:9" x14ac:dyDescent="0.3">
      <c r="A348">
        <v>347</v>
      </c>
      <c r="B348" t="s">
        <v>384</v>
      </c>
      <c r="C348" t="s">
        <v>16</v>
      </c>
      <c r="D348" t="s">
        <v>534</v>
      </c>
      <c r="E348" t="s">
        <v>540</v>
      </c>
      <c r="F348" t="s">
        <v>545</v>
      </c>
      <c r="G348">
        <v>59.92</v>
      </c>
      <c r="H348">
        <v>35.380000000000003</v>
      </c>
      <c r="I348" t="s">
        <v>537</v>
      </c>
    </row>
    <row r="349" spans="1:9" x14ac:dyDescent="0.3">
      <c r="A349">
        <v>348</v>
      </c>
      <c r="B349" t="s">
        <v>385</v>
      </c>
      <c r="C349" t="s">
        <v>19</v>
      </c>
      <c r="D349" t="s">
        <v>534</v>
      </c>
      <c r="E349" t="s">
        <v>535</v>
      </c>
      <c r="F349" t="s">
        <v>536</v>
      </c>
      <c r="G349">
        <v>34.47</v>
      </c>
      <c r="H349">
        <v>14.26</v>
      </c>
      <c r="I349" t="s">
        <v>537</v>
      </c>
    </row>
    <row r="350" spans="1:9" x14ac:dyDescent="0.3">
      <c r="A350">
        <v>349</v>
      </c>
      <c r="B350" t="s">
        <v>386</v>
      </c>
      <c r="C350" t="s">
        <v>17</v>
      </c>
      <c r="D350" t="s">
        <v>534</v>
      </c>
      <c r="E350" t="s">
        <v>535</v>
      </c>
      <c r="F350">
        <v>35</v>
      </c>
      <c r="G350">
        <v>46.72</v>
      </c>
      <c r="H350">
        <v>23.94</v>
      </c>
      <c r="I350" t="s">
        <v>537</v>
      </c>
    </row>
    <row r="351" spans="1:9" x14ac:dyDescent="0.3">
      <c r="A351">
        <v>350</v>
      </c>
      <c r="B351" t="s">
        <v>387</v>
      </c>
      <c r="C351" t="s">
        <v>19</v>
      </c>
      <c r="D351" t="s">
        <v>534</v>
      </c>
      <c r="E351" t="s">
        <v>542</v>
      </c>
      <c r="F351" t="s">
        <v>545</v>
      </c>
      <c r="G351">
        <v>27.62</v>
      </c>
      <c r="H351">
        <v>16.23</v>
      </c>
      <c r="I351" t="s">
        <v>537</v>
      </c>
    </row>
    <row r="352" spans="1:9" x14ac:dyDescent="0.3">
      <c r="A352">
        <v>351</v>
      </c>
      <c r="B352" t="s">
        <v>388</v>
      </c>
      <c r="C352" t="s">
        <v>20</v>
      </c>
      <c r="D352" t="s">
        <v>534</v>
      </c>
      <c r="E352" t="s">
        <v>535</v>
      </c>
      <c r="F352" t="s">
        <v>544</v>
      </c>
      <c r="G352">
        <v>46.11</v>
      </c>
      <c r="H352">
        <v>25.4</v>
      </c>
      <c r="I352" t="s">
        <v>537</v>
      </c>
    </row>
    <row r="353" spans="1:9" x14ac:dyDescent="0.3">
      <c r="A353">
        <v>352</v>
      </c>
      <c r="B353" t="s">
        <v>389</v>
      </c>
      <c r="C353" t="s">
        <v>19</v>
      </c>
      <c r="D353" t="s">
        <v>534</v>
      </c>
      <c r="E353" t="s">
        <v>535</v>
      </c>
      <c r="F353" t="s">
        <v>536</v>
      </c>
      <c r="G353">
        <v>61.12</v>
      </c>
      <c r="H353">
        <v>40.15</v>
      </c>
      <c r="I353" t="s">
        <v>537</v>
      </c>
    </row>
    <row r="354" spans="1:9" x14ac:dyDescent="0.3">
      <c r="A354">
        <v>353</v>
      </c>
      <c r="B354" t="s">
        <v>390</v>
      </c>
      <c r="C354" t="s">
        <v>20</v>
      </c>
      <c r="D354" t="s">
        <v>534</v>
      </c>
      <c r="E354" t="s">
        <v>538</v>
      </c>
      <c r="F354" t="s">
        <v>545</v>
      </c>
      <c r="G354">
        <v>69.540000000000006</v>
      </c>
      <c r="H354">
        <v>41.56</v>
      </c>
      <c r="I354" t="s">
        <v>537</v>
      </c>
    </row>
    <row r="355" spans="1:9" x14ac:dyDescent="0.3">
      <c r="A355">
        <v>354</v>
      </c>
      <c r="B355" t="s">
        <v>64</v>
      </c>
      <c r="C355" t="s">
        <v>16</v>
      </c>
      <c r="D355" t="s">
        <v>534</v>
      </c>
      <c r="E355" t="s">
        <v>543</v>
      </c>
      <c r="F355" t="s">
        <v>536</v>
      </c>
      <c r="G355">
        <v>52.42</v>
      </c>
      <c r="H355">
        <v>23.53</v>
      </c>
      <c r="I355" t="s">
        <v>537</v>
      </c>
    </row>
    <row r="356" spans="1:9" x14ac:dyDescent="0.3">
      <c r="A356">
        <v>355</v>
      </c>
      <c r="B356" t="s">
        <v>391</v>
      </c>
      <c r="C356" t="s">
        <v>20</v>
      </c>
      <c r="D356" t="s">
        <v>534</v>
      </c>
      <c r="E356" t="s">
        <v>543</v>
      </c>
      <c r="F356" t="s">
        <v>539</v>
      </c>
      <c r="G356">
        <v>21.38</v>
      </c>
      <c r="H356">
        <v>9</v>
      </c>
      <c r="I356" t="s">
        <v>537</v>
      </c>
    </row>
    <row r="357" spans="1:9" x14ac:dyDescent="0.3">
      <c r="A357">
        <v>356</v>
      </c>
      <c r="B357" t="s">
        <v>392</v>
      </c>
      <c r="C357" t="s">
        <v>19</v>
      </c>
      <c r="D357" t="s">
        <v>534</v>
      </c>
      <c r="E357" t="s">
        <v>543</v>
      </c>
      <c r="F357" t="s">
        <v>539</v>
      </c>
      <c r="G357">
        <v>72.41</v>
      </c>
      <c r="H357">
        <v>42.92</v>
      </c>
      <c r="I357" t="s">
        <v>537</v>
      </c>
    </row>
    <row r="358" spans="1:9" x14ac:dyDescent="0.3">
      <c r="A358">
        <v>357</v>
      </c>
      <c r="B358" t="s">
        <v>393</v>
      </c>
      <c r="C358" t="s">
        <v>19</v>
      </c>
      <c r="D358" t="s">
        <v>534</v>
      </c>
      <c r="E358" t="s">
        <v>535</v>
      </c>
      <c r="F358" t="s">
        <v>539</v>
      </c>
      <c r="G358">
        <v>56.91</v>
      </c>
      <c r="H358">
        <v>23.22</v>
      </c>
      <c r="I358" t="s">
        <v>537</v>
      </c>
    </row>
    <row r="359" spans="1:9" x14ac:dyDescent="0.3">
      <c r="A359">
        <v>358</v>
      </c>
      <c r="B359" t="s">
        <v>65</v>
      </c>
      <c r="C359" t="s">
        <v>19</v>
      </c>
      <c r="D359" t="s">
        <v>534</v>
      </c>
      <c r="E359" t="s">
        <v>540</v>
      </c>
      <c r="F359" t="s">
        <v>544</v>
      </c>
      <c r="G359">
        <v>71.86</v>
      </c>
      <c r="H359">
        <v>41.37</v>
      </c>
      <c r="I359" t="s">
        <v>537</v>
      </c>
    </row>
    <row r="360" spans="1:9" x14ac:dyDescent="0.3">
      <c r="A360">
        <v>359</v>
      </c>
      <c r="B360" t="s">
        <v>394</v>
      </c>
      <c r="C360" t="s">
        <v>17</v>
      </c>
      <c r="D360" t="s">
        <v>534</v>
      </c>
      <c r="E360" t="s">
        <v>540</v>
      </c>
      <c r="F360">
        <v>38</v>
      </c>
      <c r="G360">
        <v>74.28</v>
      </c>
      <c r="H360">
        <v>50.66</v>
      </c>
      <c r="I360" t="s">
        <v>537</v>
      </c>
    </row>
    <row r="361" spans="1:9" x14ac:dyDescent="0.3">
      <c r="A361">
        <v>360</v>
      </c>
      <c r="B361" t="s">
        <v>395</v>
      </c>
      <c r="C361" t="s">
        <v>16</v>
      </c>
      <c r="D361" t="s">
        <v>534</v>
      </c>
      <c r="E361" t="s">
        <v>535</v>
      </c>
      <c r="F361" t="s">
        <v>541</v>
      </c>
      <c r="G361">
        <v>69.48</v>
      </c>
      <c r="H361">
        <v>39.79</v>
      </c>
      <c r="I361" t="s">
        <v>537</v>
      </c>
    </row>
    <row r="362" spans="1:9" x14ac:dyDescent="0.3">
      <c r="A362">
        <v>361</v>
      </c>
      <c r="B362" t="s">
        <v>396</v>
      </c>
      <c r="C362" t="s">
        <v>19</v>
      </c>
      <c r="D362" t="s">
        <v>534</v>
      </c>
      <c r="E362" t="s">
        <v>538</v>
      </c>
      <c r="F362" t="s">
        <v>541</v>
      </c>
      <c r="G362">
        <v>51.76</v>
      </c>
      <c r="H362">
        <v>26.73</v>
      </c>
      <c r="I362" t="s">
        <v>537</v>
      </c>
    </row>
    <row r="363" spans="1:9" x14ac:dyDescent="0.3">
      <c r="A363">
        <v>362</v>
      </c>
      <c r="B363" t="s">
        <v>397</v>
      </c>
      <c r="C363" t="s">
        <v>19</v>
      </c>
      <c r="D363" t="s">
        <v>534</v>
      </c>
      <c r="E363" t="s">
        <v>538</v>
      </c>
      <c r="F363" t="s">
        <v>544</v>
      </c>
      <c r="G363">
        <v>32.64</v>
      </c>
      <c r="H363">
        <v>19.36</v>
      </c>
      <c r="I363" t="s">
        <v>537</v>
      </c>
    </row>
    <row r="364" spans="1:9" x14ac:dyDescent="0.3">
      <c r="A364">
        <v>363</v>
      </c>
      <c r="B364" t="s">
        <v>398</v>
      </c>
      <c r="C364" t="s">
        <v>18</v>
      </c>
      <c r="D364" t="s">
        <v>534</v>
      </c>
      <c r="E364" t="s">
        <v>542</v>
      </c>
      <c r="F364" t="s">
        <v>541</v>
      </c>
      <c r="G364">
        <v>43.64</v>
      </c>
      <c r="H364">
        <v>23.46</v>
      </c>
      <c r="I364" t="s">
        <v>537</v>
      </c>
    </row>
    <row r="365" spans="1:9" x14ac:dyDescent="0.3">
      <c r="A365">
        <v>364</v>
      </c>
      <c r="B365" t="s">
        <v>399</v>
      </c>
      <c r="C365" t="s">
        <v>18</v>
      </c>
      <c r="D365" t="s">
        <v>534</v>
      </c>
      <c r="E365" t="s">
        <v>538</v>
      </c>
      <c r="F365" t="s">
        <v>545</v>
      </c>
      <c r="G365">
        <v>36.340000000000003</v>
      </c>
      <c r="H365">
        <v>20.48</v>
      </c>
      <c r="I365" t="s">
        <v>537</v>
      </c>
    </row>
    <row r="366" spans="1:9" x14ac:dyDescent="0.3">
      <c r="A366">
        <v>365</v>
      </c>
      <c r="B366" t="s">
        <v>400</v>
      </c>
      <c r="C366" t="s">
        <v>16</v>
      </c>
      <c r="D366" t="s">
        <v>534</v>
      </c>
      <c r="E366" t="s">
        <v>535</v>
      </c>
      <c r="F366" t="s">
        <v>545</v>
      </c>
      <c r="G366">
        <v>67.760000000000005</v>
      </c>
      <c r="H366">
        <v>46.24</v>
      </c>
      <c r="I366" t="s">
        <v>537</v>
      </c>
    </row>
    <row r="367" spans="1:9" x14ac:dyDescent="0.3">
      <c r="A367">
        <v>366</v>
      </c>
      <c r="B367" t="s">
        <v>401</v>
      </c>
      <c r="C367" t="s">
        <v>20</v>
      </c>
      <c r="D367" t="s">
        <v>534</v>
      </c>
      <c r="E367" t="s">
        <v>538</v>
      </c>
      <c r="F367" t="s">
        <v>545</v>
      </c>
      <c r="G367">
        <v>58.34</v>
      </c>
      <c r="H367">
        <v>30.09</v>
      </c>
      <c r="I367" t="s">
        <v>537</v>
      </c>
    </row>
    <row r="368" spans="1:9" x14ac:dyDescent="0.3">
      <c r="A368">
        <v>367</v>
      </c>
      <c r="B368" t="s">
        <v>402</v>
      </c>
      <c r="C368" t="s">
        <v>18</v>
      </c>
      <c r="D368" t="s">
        <v>534</v>
      </c>
      <c r="E368" t="s">
        <v>535</v>
      </c>
      <c r="F368" t="s">
        <v>541</v>
      </c>
      <c r="G368">
        <v>51.38</v>
      </c>
      <c r="H368">
        <v>35.369999999999997</v>
      </c>
      <c r="I368" t="s">
        <v>537</v>
      </c>
    </row>
    <row r="369" spans="1:9" x14ac:dyDescent="0.3">
      <c r="A369">
        <v>368</v>
      </c>
      <c r="B369" t="s">
        <v>403</v>
      </c>
      <c r="C369" t="s">
        <v>16</v>
      </c>
      <c r="D369" t="s">
        <v>534</v>
      </c>
      <c r="E369" t="s">
        <v>535</v>
      </c>
      <c r="F369" t="s">
        <v>544</v>
      </c>
      <c r="G369">
        <v>53.48</v>
      </c>
      <c r="H369">
        <v>35.92</v>
      </c>
      <c r="I369" t="s">
        <v>537</v>
      </c>
    </row>
    <row r="370" spans="1:9" x14ac:dyDescent="0.3">
      <c r="A370">
        <v>369</v>
      </c>
      <c r="B370" t="s">
        <v>404</v>
      </c>
      <c r="C370" t="s">
        <v>18</v>
      </c>
      <c r="D370" t="s">
        <v>534</v>
      </c>
      <c r="E370" t="s">
        <v>535</v>
      </c>
      <c r="F370" t="s">
        <v>539</v>
      </c>
      <c r="G370">
        <v>43.04</v>
      </c>
      <c r="H370">
        <v>19.739999999999998</v>
      </c>
      <c r="I370" t="s">
        <v>537</v>
      </c>
    </row>
    <row r="371" spans="1:9" x14ac:dyDescent="0.3">
      <c r="A371">
        <v>370</v>
      </c>
      <c r="B371" t="s">
        <v>66</v>
      </c>
      <c r="C371" t="s">
        <v>16</v>
      </c>
      <c r="D371" t="s">
        <v>534</v>
      </c>
      <c r="E371" t="s">
        <v>540</v>
      </c>
      <c r="F371" t="s">
        <v>545</v>
      </c>
      <c r="G371">
        <v>50.34</v>
      </c>
      <c r="H371">
        <v>21.18</v>
      </c>
      <c r="I371" t="s">
        <v>537</v>
      </c>
    </row>
    <row r="372" spans="1:9" x14ac:dyDescent="0.3">
      <c r="A372">
        <v>371</v>
      </c>
      <c r="B372" t="s">
        <v>405</v>
      </c>
      <c r="C372" t="s">
        <v>16</v>
      </c>
      <c r="D372" t="s">
        <v>534</v>
      </c>
      <c r="E372" t="s">
        <v>538</v>
      </c>
      <c r="F372" t="s">
        <v>539</v>
      </c>
      <c r="G372">
        <v>63.82</v>
      </c>
      <c r="H372">
        <v>27.46</v>
      </c>
      <c r="I372" t="s">
        <v>537</v>
      </c>
    </row>
    <row r="373" spans="1:9" x14ac:dyDescent="0.3">
      <c r="A373">
        <v>372</v>
      </c>
      <c r="B373" t="s">
        <v>406</v>
      </c>
      <c r="C373" t="s">
        <v>20</v>
      </c>
      <c r="D373" t="s">
        <v>534</v>
      </c>
      <c r="E373" t="s">
        <v>540</v>
      </c>
      <c r="F373" t="s">
        <v>536</v>
      </c>
      <c r="G373">
        <v>63.79</v>
      </c>
      <c r="H373">
        <v>25.86</v>
      </c>
      <c r="I373" t="s">
        <v>537</v>
      </c>
    </row>
    <row r="374" spans="1:9" x14ac:dyDescent="0.3">
      <c r="A374">
        <v>373</v>
      </c>
      <c r="B374" t="s">
        <v>407</v>
      </c>
      <c r="C374" t="s">
        <v>17</v>
      </c>
      <c r="D374" t="s">
        <v>534</v>
      </c>
      <c r="E374" t="s">
        <v>543</v>
      </c>
      <c r="F374">
        <v>36</v>
      </c>
      <c r="G374">
        <v>44.12</v>
      </c>
      <c r="H374">
        <v>18.899999999999999</v>
      </c>
      <c r="I374" t="s">
        <v>537</v>
      </c>
    </row>
    <row r="375" spans="1:9" x14ac:dyDescent="0.3">
      <c r="A375">
        <v>374</v>
      </c>
      <c r="B375" t="s">
        <v>408</v>
      </c>
      <c r="C375" t="s">
        <v>19</v>
      </c>
      <c r="D375" t="s">
        <v>534</v>
      </c>
      <c r="E375" t="s">
        <v>543</v>
      </c>
      <c r="F375" t="s">
        <v>539</v>
      </c>
      <c r="G375">
        <v>43.43</v>
      </c>
      <c r="H375">
        <v>26.27</v>
      </c>
      <c r="I375" t="s">
        <v>537</v>
      </c>
    </row>
    <row r="376" spans="1:9" x14ac:dyDescent="0.3">
      <c r="A376">
        <v>375</v>
      </c>
      <c r="B376" t="s">
        <v>409</v>
      </c>
      <c r="C376" t="s">
        <v>17</v>
      </c>
      <c r="D376" t="s">
        <v>534</v>
      </c>
      <c r="E376" t="s">
        <v>543</v>
      </c>
      <c r="F376">
        <v>36</v>
      </c>
      <c r="G376">
        <v>42.67</v>
      </c>
      <c r="H376">
        <v>17.98</v>
      </c>
      <c r="I376" t="s">
        <v>537</v>
      </c>
    </row>
    <row r="377" spans="1:9" x14ac:dyDescent="0.3">
      <c r="A377">
        <v>376</v>
      </c>
      <c r="B377" t="s">
        <v>410</v>
      </c>
      <c r="C377" t="s">
        <v>19</v>
      </c>
      <c r="D377" t="s">
        <v>534</v>
      </c>
      <c r="E377" t="s">
        <v>543</v>
      </c>
      <c r="F377" t="s">
        <v>536</v>
      </c>
      <c r="G377">
        <v>38.520000000000003</v>
      </c>
      <c r="H377">
        <v>19.09</v>
      </c>
      <c r="I377" t="s">
        <v>537</v>
      </c>
    </row>
    <row r="378" spans="1:9" x14ac:dyDescent="0.3">
      <c r="A378">
        <v>377</v>
      </c>
      <c r="B378" t="s">
        <v>411</v>
      </c>
      <c r="C378" t="s">
        <v>17</v>
      </c>
      <c r="D378" t="s">
        <v>534</v>
      </c>
      <c r="E378" t="s">
        <v>538</v>
      </c>
      <c r="F378">
        <v>40</v>
      </c>
      <c r="G378">
        <v>42.5</v>
      </c>
      <c r="H378">
        <v>27.77</v>
      </c>
      <c r="I378" t="s">
        <v>537</v>
      </c>
    </row>
    <row r="379" spans="1:9" x14ac:dyDescent="0.3">
      <c r="A379">
        <v>378</v>
      </c>
      <c r="B379" t="s">
        <v>412</v>
      </c>
      <c r="C379" t="s">
        <v>20</v>
      </c>
      <c r="D379" t="s">
        <v>534</v>
      </c>
      <c r="E379" t="s">
        <v>543</v>
      </c>
      <c r="F379" t="s">
        <v>541</v>
      </c>
      <c r="G379">
        <v>62.39</v>
      </c>
      <c r="H379">
        <v>25.39</v>
      </c>
      <c r="I379" t="s">
        <v>537</v>
      </c>
    </row>
    <row r="380" spans="1:9" x14ac:dyDescent="0.3">
      <c r="A380">
        <v>379</v>
      </c>
      <c r="B380" t="s">
        <v>413</v>
      </c>
      <c r="C380" t="s">
        <v>20</v>
      </c>
      <c r="D380" t="s">
        <v>534</v>
      </c>
      <c r="E380" t="s">
        <v>538</v>
      </c>
      <c r="F380" t="s">
        <v>544</v>
      </c>
      <c r="G380">
        <v>70.819999999999993</v>
      </c>
      <c r="H380">
        <v>45.63</v>
      </c>
      <c r="I380" t="s">
        <v>537</v>
      </c>
    </row>
    <row r="381" spans="1:9" x14ac:dyDescent="0.3">
      <c r="A381">
        <v>380</v>
      </c>
      <c r="B381" t="s">
        <v>414</v>
      </c>
      <c r="C381" t="s">
        <v>19</v>
      </c>
      <c r="D381" t="s">
        <v>534</v>
      </c>
      <c r="E381" t="s">
        <v>538</v>
      </c>
      <c r="F381" t="s">
        <v>541</v>
      </c>
      <c r="G381">
        <v>59.84</v>
      </c>
      <c r="H381">
        <v>29</v>
      </c>
      <c r="I381" t="s">
        <v>537</v>
      </c>
    </row>
    <row r="382" spans="1:9" x14ac:dyDescent="0.3">
      <c r="A382">
        <v>381</v>
      </c>
      <c r="B382" t="s">
        <v>415</v>
      </c>
      <c r="C382" t="s">
        <v>16</v>
      </c>
      <c r="D382" t="s">
        <v>534</v>
      </c>
      <c r="E382" t="s">
        <v>538</v>
      </c>
      <c r="F382" t="s">
        <v>536</v>
      </c>
      <c r="G382">
        <v>35.590000000000003</v>
      </c>
      <c r="H382">
        <v>15.5</v>
      </c>
      <c r="I382" t="s">
        <v>537</v>
      </c>
    </row>
    <row r="383" spans="1:9" x14ac:dyDescent="0.3">
      <c r="A383">
        <v>382</v>
      </c>
      <c r="B383" t="s">
        <v>416</v>
      </c>
      <c r="C383" t="s">
        <v>18</v>
      </c>
      <c r="D383" t="s">
        <v>534</v>
      </c>
      <c r="E383" t="s">
        <v>535</v>
      </c>
      <c r="F383" t="s">
        <v>536</v>
      </c>
      <c r="G383">
        <v>62.52</v>
      </c>
      <c r="H383">
        <v>38.08</v>
      </c>
      <c r="I383" t="s">
        <v>537</v>
      </c>
    </row>
    <row r="384" spans="1:9" x14ac:dyDescent="0.3">
      <c r="A384">
        <v>383</v>
      </c>
      <c r="B384" t="s">
        <v>417</v>
      </c>
      <c r="C384" t="s">
        <v>19</v>
      </c>
      <c r="D384" t="s">
        <v>534</v>
      </c>
      <c r="E384" t="s">
        <v>543</v>
      </c>
      <c r="F384" t="s">
        <v>544</v>
      </c>
      <c r="G384">
        <v>66.38</v>
      </c>
      <c r="H384">
        <v>39.08</v>
      </c>
      <c r="I384" t="s">
        <v>537</v>
      </c>
    </row>
    <row r="385" spans="1:9" x14ac:dyDescent="0.3">
      <c r="A385">
        <v>384</v>
      </c>
      <c r="B385" t="s">
        <v>418</v>
      </c>
      <c r="C385" t="s">
        <v>19</v>
      </c>
      <c r="D385" t="s">
        <v>534</v>
      </c>
      <c r="E385" t="s">
        <v>543</v>
      </c>
      <c r="F385" t="s">
        <v>536</v>
      </c>
      <c r="G385">
        <v>58.94</v>
      </c>
      <c r="H385">
        <v>39.090000000000003</v>
      </c>
      <c r="I385" t="s">
        <v>537</v>
      </c>
    </row>
    <row r="386" spans="1:9" x14ac:dyDescent="0.3">
      <c r="A386">
        <v>385</v>
      </c>
      <c r="B386" t="s">
        <v>419</v>
      </c>
      <c r="C386" t="s">
        <v>20</v>
      </c>
      <c r="D386" t="s">
        <v>534</v>
      </c>
      <c r="E386" t="s">
        <v>542</v>
      </c>
      <c r="F386" t="s">
        <v>541</v>
      </c>
      <c r="G386">
        <v>63.23</v>
      </c>
      <c r="H386">
        <v>39.24</v>
      </c>
      <c r="I386" t="s">
        <v>537</v>
      </c>
    </row>
    <row r="387" spans="1:9" x14ac:dyDescent="0.3">
      <c r="A387">
        <v>386</v>
      </c>
      <c r="B387" t="s">
        <v>420</v>
      </c>
      <c r="C387" t="s">
        <v>18</v>
      </c>
      <c r="D387" t="s">
        <v>534</v>
      </c>
      <c r="E387" t="s">
        <v>535</v>
      </c>
      <c r="F387" t="s">
        <v>544</v>
      </c>
      <c r="G387">
        <v>51.38</v>
      </c>
      <c r="H387">
        <v>32.94</v>
      </c>
      <c r="I387" t="s">
        <v>537</v>
      </c>
    </row>
    <row r="388" spans="1:9" x14ac:dyDescent="0.3">
      <c r="A388">
        <v>387</v>
      </c>
      <c r="B388" t="s">
        <v>421</v>
      </c>
      <c r="C388" t="s">
        <v>19</v>
      </c>
      <c r="D388" t="s">
        <v>534</v>
      </c>
      <c r="E388" t="s">
        <v>535</v>
      </c>
      <c r="F388" t="s">
        <v>541</v>
      </c>
      <c r="G388">
        <v>38.06</v>
      </c>
      <c r="H388">
        <v>18.440000000000001</v>
      </c>
      <c r="I388" t="s">
        <v>537</v>
      </c>
    </row>
    <row r="389" spans="1:9" x14ac:dyDescent="0.3">
      <c r="A389">
        <v>388</v>
      </c>
      <c r="B389" t="s">
        <v>422</v>
      </c>
      <c r="C389" t="s">
        <v>18</v>
      </c>
      <c r="D389" t="s">
        <v>534</v>
      </c>
      <c r="E389" t="s">
        <v>543</v>
      </c>
      <c r="F389" t="s">
        <v>536</v>
      </c>
      <c r="G389">
        <v>34.229999999999997</v>
      </c>
      <c r="H389">
        <v>15.51</v>
      </c>
      <c r="I389" t="s">
        <v>537</v>
      </c>
    </row>
    <row r="390" spans="1:9" x14ac:dyDescent="0.3">
      <c r="A390">
        <v>389</v>
      </c>
      <c r="B390" t="s">
        <v>423</v>
      </c>
      <c r="C390" t="s">
        <v>19</v>
      </c>
      <c r="D390" t="s">
        <v>534</v>
      </c>
      <c r="E390" t="s">
        <v>543</v>
      </c>
      <c r="F390" t="s">
        <v>539</v>
      </c>
      <c r="G390">
        <v>54.76</v>
      </c>
      <c r="H390">
        <v>34.24</v>
      </c>
      <c r="I390" t="s">
        <v>537</v>
      </c>
    </row>
    <row r="391" spans="1:9" x14ac:dyDescent="0.3">
      <c r="A391">
        <v>390</v>
      </c>
      <c r="B391" t="s">
        <v>424</v>
      </c>
      <c r="C391" t="s">
        <v>17</v>
      </c>
      <c r="D391" t="s">
        <v>534</v>
      </c>
      <c r="E391" t="s">
        <v>540</v>
      </c>
      <c r="F391">
        <v>35</v>
      </c>
      <c r="G391">
        <v>59.33</v>
      </c>
      <c r="H391">
        <v>38.090000000000003</v>
      </c>
      <c r="I391" t="s">
        <v>537</v>
      </c>
    </row>
    <row r="392" spans="1:9" x14ac:dyDescent="0.3">
      <c r="A392">
        <v>391</v>
      </c>
      <c r="B392" t="s">
        <v>425</v>
      </c>
      <c r="C392" t="s">
        <v>18</v>
      </c>
      <c r="D392" t="s">
        <v>534</v>
      </c>
      <c r="E392" t="s">
        <v>542</v>
      </c>
      <c r="F392" t="s">
        <v>539</v>
      </c>
      <c r="G392">
        <v>59.77</v>
      </c>
      <c r="H392">
        <v>41.67</v>
      </c>
      <c r="I392" t="s">
        <v>537</v>
      </c>
    </row>
    <row r="393" spans="1:9" x14ac:dyDescent="0.3">
      <c r="A393">
        <v>392</v>
      </c>
      <c r="B393" t="s">
        <v>426</v>
      </c>
      <c r="C393" t="s">
        <v>17</v>
      </c>
      <c r="D393" t="s">
        <v>534</v>
      </c>
      <c r="E393" t="s">
        <v>543</v>
      </c>
      <c r="F393">
        <v>40</v>
      </c>
      <c r="G393">
        <v>75.47</v>
      </c>
      <c r="H393">
        <v>39.53</v>
      </c>
      <c r="I393" t="s">
        <v>537</v>
      </c>
    </row>
    <row r="394" spans="1:9" x14ac:dyDescent="0.3">
      <c r="A394">
        <v>393</v>
      </c>
      <c r="B394" t="s">
        <v>427</v>
      </c>
      <c r="C394" t="s">
        <v>19</v>
      </c>
      <c r="D394" t="s">
        <v>534</v>
      </c>
      <c r="E394" t="s">
        <v>535</v>
      </c>
      <c r="F394" t="s">
        <v>545</v>
      </c>
      <c r="G394">
        <v>52.88</v>
      </c>
      <c r="H394">
        <v>27.05</v>
      </c>
      <c r="I394" t="s">
        <v>537</v>
      </c>
    </row>
    <row r="395" spans="1:9" x14ac:dyDescent="0.3">
      <c r="A395">
        <v>394</v>
      </c>
      <c r="B395" t="s">
        <v>428</v>
      </c>
      <c r="C395" t="s">
        <v>16</v>
      </c>
      <c r="D395" t="s">
        <v>534</v>
      </c>
      <c r="E395" t="s">
        <v>542</v>
      </c>
      <c r="F395" t="s">
        <v>545</v>
      </c>
      <c r="G395">
        <v>52.58</v>
      </c>
      <c r="H395">
        <v>33.28</v>
      </c>
      <c r="I395" t="s">
        <v>537</v>
      </c>
    </row>
    <row r="396" spans="1:9" x14ac:dyDescent="0.3">
      <c r="A396">
        <v>395</v>
      </c>
      <c r="B396" t="s">
        <v>429</v>
      </c>
      <c r="C396" t="s">
        <v>18</v>
      </c>
      <c r="D396" t="s">
        <v>534</v>
      </c>
      <c r="E396" t="s">
        <v>543</v>
      </c>
      <c r="F396" t="s">
        <v>544</v>
      </c>
      <c r="G396">
        <v>42.31</v>
      </c>
      <c r="H396">
        <v>21.25</v>
      </c>
      <c r="I396" t="s">
        <v>537</v>
      </c>
    </row>
    <row r="397" spans="1:9" x14ac:dyDescent="0.3">
      <c r="A397">
        <v>396</v>
      </c>
      <c r="B397" t="s">
        <v>430</v>
      </c>
      <c r="C397" t="s">
        <v>16</v>
      </c>
      <c r="D397" t="s">
        <v>534</v>
      </c>
      <c r="E397" t="s">
        <v>540</v>
      </c>
      <c r="F397" t="s">
        <v>544</v>
      </c>
      <c r="G397">
        <v>51</v>
      </c>
      <c r="H397">
        <v>34.64</v>
      </c>
      <c r="I397" t="s">
        <v>537</v>
      </c>
    </row>
    <row r="398" spans="1:9" x14ac:dyDescent="0.3">
      <c r="A398">
        <v>397</v>
      </c>
      <c r="B398" t="s">
        <v>431</v>
      </c>
      <c r="C398" t="s">
        <v>18</v>
      </c>
      <c r="D398" t="s">
        <v>534</v>
      </c>
      <c r="E398" t="s">
        <v>543</v>
      </c>
      <c r="F398" t="s">
        <v>541</v>
      </c>
      <c r="G398">
        <v>26.48</v>
      </c>
      <c r="H398">
        <v>17.41</v>
      </c>
      <c r="I398" t="s">
        <v>537</v>
      </c>
    </row>
    <row r="399" spans="1:9" x14ac:dyDescent="0.3">
      <c r="A399">
        <v>398</v>
      </c>
      <c r="B399" t="s">
        <v>432</v>
      </c>
      <c r="C399" t="s">
        <v>19</v>
      </c>
      <c r="D399" t="s">
        <v>534</v>
      </c>
      <c r="E399" t="s">
        <v>542</v>
      </c>
      <c r="F399" t="s">
        <v>544</v>
      </c>
      <c r="G399">
        <v>71.150000000000006</v>
      </c>
      <c r="H399">
        <v>37.619999999999997</v>
      </c>
      <c r="I399" t="s">
        <v>537</v>
      </c>
    </row>
    <row r="400" spans="1:9" x14ac:dyDescent="0.3">
      <c r="A400">
        <v>399</v>
      </c>
      <c r="B400" t="s">
        <v>67</v>
      </c>
      <c r="C400" t="s">
        <v>17</v>
      </c>
      <c r="D400" t="s">
        <v>534</v>
      </c>
      <c r="E400" t="s">
        <v>535</v>
      </c>
      <c r="F400">
        <v>38</v>
      </c>
      <c r="G400">
        <v>61.6</v>
      </c>
      <c r="H400">
        <v>38.520000000000003</v>
      </c>
      <c r="I400" t="s">
        <v>537</v>
      </c>
    </row>
    <row r="401" spans="1:9" x14ac:dyDescent="0.3">
      <c r="A401">
        <v>400</v>
      </c>
      <c r="B401" t="s">
        <v>68</v>
      </c>
      <c r="C401" t="s">
        <v>20</v>
      </c>
      <c r="D401" t="s">
        <v>534</v>
      </c>
      <c r="E401" t="s">
        <v>543</v>
      </c>
      <c r="F401" t="s">
        <v>544</v>
      </c>
      <c r="G401">
        <v>29.68</v>
      </c>
      <c r="H401">
        <v>18.59</v>
      </c>
      <c r="I401" t="s">
        <v>537</v>
      </c>
    </row>
    <row r="402" spans="1:9" x14ac:dyDescent="0.3">
      <c r="A402">
        <v>401</v>
      </c>
      <c r="B402" t="s">
        <v>69</v>
      </c>
      <c r="C402" t="s">
        <v>18</v>
      </c>
      <c r="D402" t="s">
        <v>534</v>
      </c>
      <c r="E402" t="s">
        <v>540</v>
      </c>
      <c r="F402" t="s">
        <v>539</v>
      </c>
      <c r="G402">
        <v>30.83</v>
      </c>
      <c r="H402">
        <v>13.29</v>
      </c>
      <c r="I402" t="s">
        <v>537</v>
      </c>
    </row>
    <row r="403" spans="1:9" x14ac:dyDescent="0.3">
      <c r="A403">
        <v>402</v>
      </c>
      <c r="B403" t="s">
        <v>433</v>
      </c>
      <c r="C403" t="s">
        <v>19</v>
      </c>
      <c r="D403" t="s">
        <v>534</v>
      </c>
      <c r="E403" t="s">
        <v>543</v>
      </c>
      <c r="F403" t="s">
        <v>536</v>
      </c>
      <c r="G403">
        <v>34.450000000000003</v>
      </c>
      <c r="H403">
        <v>23.11</v>
      </c>
      <c r="I403" t="s">
        <v>537</v>
      </c>
    </row>
    <row r="404" spans="1:9" x14ac:dyDescent="0.3">
      <c r="A404">
        <v>403</v>
      </c>
      <c r="B404" t="s">
        <v>434</v>
      </c>
      <c r="C404" t="s">
        <v>18</v>
      </c>
      <c r="D404" t="s">
        <v>534</v>
      </c>
      <c r="E404" t="s">
        <v>542</v>
      </c>
      <c r="F404" t="s">
        <v>544</v>
      </c>
      <c r="G404">
        <v>81.8</v>
      </c>
      <c r="H404">
        <v>45.12</v>
      </c>
      <c r="I404" t="s">
        <v>537</v>
      </c>
    </row>
    <row r="405" spans="1:9" x14ac:dyDescent="0.3">
      <c r="A405">
        <v>404</v>
      </c>
      <c r="B405" t="s">
        <v>70</v>
      </c>
      <c r="C405" t="s">
        <v>19</v>
      </c>
      <c r="D405" t="s">
        <v>534</v>
      </c>
      <c r="E405" t="s">
        <v>543</v>
      </c>
      <c r="F405" t="s">
        <v>544</v>
      </c>
      <c r="G405">
        <v>45.19</v>
      </c>
      <c r="H405">
        <v>29.28</v>
      </c>
      <c r="I405" t="s">
        <v>537</v>
      </c>
    </row>
    <row r="406" spans="1:9" x14ac:dyDescent="0.3">
      <c r="A406">
        <v>405</v>
      </c>
      <c r="B406" t="s">
        <v>435</v>
      </c>
      <c r="C406" t="s">
        <v>18</v>
      </c>
      <c r="D406" t="s">
        <v>534</v>
      </c>
      <c r="E406" t="s">
        <v>540</v>
      </c>
      <c r="F406" t="s">
        <v>539</v>
      </c>
      <c r="G406">
        <v>34.71</v>
      </c>
      <c r="H406">
        <v>17.22</v>
      </c>
      <c r="I406" t="s">
        <v>537</v>
      </c>
    </row>
    <row r="407" spans="1:9" x14ac:dyDescent="0.3">
      <c r="A407">
        <v>406</v>
      </c>
      <c r="B407" t="s">
        <v>436</v>
      </c>
      <c r="C407" t="s">
        <v>20</v>
      </c>
      <c r="D407" t="s">
        <v>534</v>
      </c>
      <c r="E407" t="s">
        <v>538</v>
      </c>
      <c r="F407" t="s">
        <v>536</v>
      </c>
      <c r="G407">
        <v>53.74</v>
      </c>
      <c r="H407">
        <v>35.93</v>
      </c>
      <c r="I407" t="s">
        <v>537</v>
      </c>
    </row>
    <row r="408" spans="1:9" x14ac:dyDescent="0.3">
      <c r="A408">
        <v>407</v>
      </c>
      <c r="B408" t="s">
        <v>437</v>
      </c>
      <c r="C408" t="s">
        <v>16</v>
      </c>
      <c r="D408" t="s">
        <v>534</v>
      </c>
      <c r="E408" t="s">
        <v>538</v>
      </c>
      <c r="F408" t="s">
        <v>536</v>
      </c>
      <c r="G408">
        <v>56.84</v>
      </c>
      <c r="H408">
        <v>29.37</v>
      </c>
      <c r="I408" t="s">
        <v>537</v>
      </c>
    </row>
    <row r="409" spans="1:9" x14ac:dyDescent="0.3">
      <c r="A409">
        <v>408</v>
      </c>
      <c r="B409" t="s">
        <v>438</v>
      </c>
      <c r="C409" t="s">
        <v>16</v>
      </c>
      <c r="D409" t="s">
        <v>534</v>
      </c>
      <c r="E409" t="s">
        <v>542</v>
      </c>
      <c r="F409" t="s">
        <v>536</v>
      </c>
      <c r="G409">
        <v>37.17</v>
      </c>
      <c r="H409">
        <v>14.99</v>
      </c>
      <c r="I409" t="s">
        <v>537</v>
      </c>
    </row>
    <row r="410" spans="1:9" x14ac:dyDescent="0.3">
      <c r="A410">
        <v>409</v>
      </c>
      <c r="B410" t="s">
        <v>439</v>
      </c>
      <c r="C410" t="s">
        <v>17</v>
      </c>
      <c r="D410" t="s">
        <v>534</v>
      </c>
      <c r="E410" t="s">
        <v>542</v>
      </c>
      <c r="F410">
        <v>35</v>
      </c>
      <c r="G410">
        <v>47.84</v>
      </c>
      <c r="H410">
        <v>32.130000000000003</v>
      </c>
      <c r="I410" t="s">
        <v>537</v>
      </c>
    </row>
    <row r="411" spans="1:9" x14ac:dyDescent="0.3">
      <c r="A411">
        <v>410</v>
      </c>
      <c r="B411" t="s">
        <v>440</v>
      </c>
      <c r="C411" t="s">
        <v>19</v>
      </c>
      <c r="D411" t="s">
        <v>534</v>
      </c>
      <c r="E411" t="s">
        <v>538</v>
      </c>
      <c r="F411" t="s">
        <v>541</v>
      </c>
      <c r="G411">
        <v>47.47</v>
      </c>
      <c r="H411">
        <v>20.29</v>
      </c>
      <c r="I411" t="s">
        <v>537</v>
      </c>
    </row>
    <row r="412" spans="1:9" x14ac:dyDescent="0.3">
      <c r="A412">
        <v>411</v>
      </c>
      <c r="B412" t="s">
        <v>441</v>
      </c>
      <c r="C412" t="s">
        <v>19</v>
      </c>
      <c r="D412" t="s">
        <v>534</v>
      </c>
      <c r="E412" t="s">
        <v>535</v>
      </c>
      <c r="F412" t="s">
        <v>545</v>
      </c>
      <c r="G412">
        <v>43.94</v>
      </c>
      <c r="H412">
        <v>21.79</v>
      </c>
      <c r="I412" t="s">
        <v>537</v>
      </c>
    </row>
    <row r="413" spans="1:9" x14ac:dyDescent="0.3">
      <c r="A413">
        <v>412</v>
      </c>
      <c r="B413" t="s">
        <v>442</v>
      </c>
      <c r="C413" t="s">
        <v>17</v>
      </c>
      <c r="D413" t="s">
        <v>534</v>
      </c>
      <c r="E413" t="s">
        <v>543</v>
      </c>
      <c r="F413">
        <v>38</v>
      </c>
      <c r="G413">
        <v>60.33</v>
      </c>
      <c r="H413">
        <v>41.33</v>
      </c>
      <c r="I413" t="s">
        <v>537</v>
      </c>
    </row>
    <row r="414" spans="1:9" x14ac:dyDescent="0.3">
      <c r="A414">
        <v>413</v>
      </c>
      <c r="B414" t="s">
        <v>443</v>
      </c>
      <c r="C414" t="s">
        <v>17</v>
      </c>
      <c r="D414" t="s">
        <v>534</v>
      </c>
      <c r="E414" t="s">
        <v>543</v>
      </c>
      <c r="F414">
        <v>40</v>
      </c>
      <c r="G414">
        <v>76.150000000000006</v>
      </c>
      <c r="H414">
        <v>52.18</v>
      </c>
      <c r="I414" t="s">
        <v>537</v>
      </c>
    </row>
    <row r="415" spans="1:9" x14ac:dyDescent="0.3">
      <c r="A415">
        <v>414</v>
      </c>
      <c r="B415" t="s">
        <v>444</v>
      </c>
      <c r="C415" t="s">
        <v>19</v>
      </c>
      <c r="D415" t="s">
        <v>534</v>
      </c>
      <c r="E415" t="s">
        <v>540</v>
      </c>
      <c r="F415" t="s">
        <v>545</v>
      </c>
      <c r="G415">
        <v>35.200000000000003</v>
      </c>
      <c r="H415">
        <v>20.14</v>
      </c>
      <c r="I415" t="s">
        <v>537</v>
      </c>
    </row>
    <row r="416" spans="1:9" x14ac:dyDescent="0.3">
      <c r="A416">
        <v>415</v>
      </c>
      <c r="B416" t="s">
        <v>445</v>
      </c>
      <c r="C416" t="s">
        <v>20</v>
      </c>
      <c r="D416" t="s">
        <v>534</v>
      </c>
      <c r="E416" t="s">
        <v>538</v>
      </c>
      <c r="F416" t="s">
        <v>545</v>
      </c>
      <c r="G416">
        <v>28.73</v>
      </c>
      <c r="H416">
        <v>16.940000000000001</v>
      </c>
      <c r="I416" t="s">
        <v>537</v>
      </c>
    </row>
    <row r="417" spans="1:9" x14ac:dyDescent="0.3">
      <c r="A417">
        <v>416</v>
      </c>
      <c r="B417" t="s">
        <v>446</v>
      </c>
      <c r="C417" t="s">
        <v>20</v>
      </c>
      <c r="D417" t="s">
        <v>534</v>
      </c>
      <c r="E417" t="s">
        <v>538</v>
      </c>
      <c r="F417" t="s">
        <v>539</v>
      </c>
      <c r="G417">
        <v>53.46</v>
      </c>
      <c r="H417">
        <v>28.58</v>
      </c>
      <c r="I417" t="s">
        <v>537</v>
      </c>
    </row>
    <row r="418" spans="1:9" x14ac:dyDescent="0.3">
      <c r="A418">
        <v>417</v>
      </c>
      <c r="B418" t="s">
        <v>447</v>
      </c>
      <c r="C418" t="s">
        <v>17</v>
      </c>
      <c r="D418" t="s">
        <v>534</v>
      </c>
      <c r="E418" t="s">
        <v>538</v>
      </c>
      <c r="F418">
        <v>38</v>
      </c>
      <c r="G418">
        <v>38.42</v>
      </c>
      <c r="H418">
        <v>18.75</v>
      </c>
      <c r="I418" t="s">
        <v>537</v>
      </c>
    </row>
    <row r="419" spans="1:9" x14ac:dyDescent="0.3">
      <c r="A419">
        <v>418</v>
      </c>
      <c r="B419" t="s">
        <v>448</v>
      </c>
      <c r="C419" t="s">
        <v>17</v>
      </c>
      <c r="D419" t="s">
        <v>534</v>
      </c>
      <c r="E419" t="s">
        <v>540</v>
      </c>
      <c r="F419">
        <v>36</v>
      </c>
      <c r="G419">
        <v>31.84</v>
      </c>
      <c r="H419">
        <v>15.88</v>
      </c>
      <c r="I419" t="s">
        <v>537</v>
      </c>
    </row>
    <row r="420" spans="1:9" x14ac:dyDescent="0.3">
      <c r="A420">
        <v>419</v>
      </c>
      <c r="B420" t="s">
        <v>449</v>
      </c>
      <c r="C420" t="s">
        <v>18</v>
      </c>
      <c r="D420" t="s">
        <v>534</v>
      </c>
      <c r="E420" t="s">
        <v>540</v>
      </c>
      <c r="F420" t="s">
        <v>544</v>
      </c>
      <c r="G420">
        <v>50.34</v>
      </c>
      <c r="H420">
        <v>30.29</v>
      </c>
      <c r="I420" t="s">
        <v>537</v>
      </c>
    </row>
    <row r="421" spans="1:9" x14ac:dyDescent="0.3">
      <c r="A421">
        <v>420</v>
      </c>
      <c r="B421" t="s">
        <v>450</v>
      </c>
      <c r="C421" t="s">
        <v>17</v>
      </c>
      <c r="D421" t="s">
        <v>534</v>
      </c>
      <c r="E421" t="s">
        <v>535</v>
      </c>
      <c r="F421">
        <v>36</v>
      </c>
      <c r="G421">
        <v>72.58</v>
      </c>
      <c r="H421">
        <v>45.41</v>
      </c>
      <c r="I421" t="s">
        <v>537</v>
      </c>
    </row>
    <row r="422" spans="1:9" x14ac:dyDescent="0.3">
      <c r="A422">
        <v>421</v>
      </c>
      <c r="B422" t="s">
        <v>451</v>
      </c>
      <c r="C422" t="s">
        <v>19</v>
      </c>
      <c r="D422" t="s">
        <v>534</v>
      </c>
      <c r="E422" t="s">
        <v>535</v>
      </c>
      <c r="F422" t="s">
        <v>545</v>
      </c>
      <c r="G422">
        <v>50.89</v>
      </c>
      <c r="H422">
        <v>32.44</v>
      </c>
      <c r="I422" t="s">
        <v>537</v>
      </c>
    </row>
    <row r="423" spans="1:9" x14ac:dyDescent="0.3">
      <c r="A423">
        <v>422</v>
      </c>
      <c r="B423" t="s">
        <v>452</v>
      </c>
      <c r="C423" t="s">
        <v>19</v>
      </c>
      <c r="D423" t="s">
        <v>534</v>
      </c>
      <c r="E423" t="s">
        <v>535</v>
      </c>
      <c r="F423" t="s">
        <v>541</v>
      </c>
      <c r="G423">
        <v>55.91</v>
      </c>
      <c r="H423">
        <v>35.61</v>
      </c>
      <c r="I423" t="s">
        <v>537</v>
      </c>
    </row>
    <row r="424" spans="1:9" x14ac:dyDescent="0.3">
      <c r="A424">
        <v>423</v>
      </c>
      <c r="B424" t="s">
        <v>453</v>
      </c>
      <c r="C424" t="s">
        <v>16</v>
      </c>
      <c r="D424" t="s">
        <v>534</v>
      </c>
      <c r="E424" t="s">
        <v>543</v>
      </c>
      <c r="F424" t="s">
        <v>544</v>
      </c>
      <c r="G424">
        <v>41.64</v>
      </c>
      <c r="H424">
        <v>17.8</v>
      </c>
      <c r="I424" t="s">
        <v>537</v>
      </c>
    </row>
    <row r="425" spans="1:9" x14ac:dyDescent="0.3">
      <c r="A425">
        <v>424</v>
      </c>
      <c r="B425" t="s">
        <v>454</v>
      </c>
      <c r="C425" t="s">
        <v>18</v>
      </c>
      <c r="D425" t="s">
        <v>534</v>
      </c>
      <c r="E425" t="s">
        <v>540</v>
      </c>
      <c r="F425" t="s">
        <v>539</v>
      </c>
      <c r="G425">
        <v>55.39</v>
      </c>
      <c r="H425">
        <v>30.37</v>
      </c>
      <c r="I425" t="s">
        <v>537</v>
      </c>
    </row>
    <row r="426" spans="1:9" x14ac:dyDescent="0.3">
      <c r="A426">
        <v>425</v>
      </c>
      <c r="B426" t="s">
        <v>71</v>
      </c>
      <c r="C426" t="s">
        <v>19</v>
      </c>
      <c r="D426" t="s">
        <v>534</v>
      </c>
      <c r="E426" t="s">
        <v>542</v>
      </c>
      <c r="F426" t="s">
        <v>536</v>
      </c>
      <c r="G426">
        <v>53.99</v>
      </c>
      <c r="H426">
        <v>22.53</v>
      </c>
      <c r="I426" t="s">
        <v>537</v>
      </c>
    </row>
    <row r="427" spans="1:9" x14ac:dyDescent="0.3">
      <c r="A427">
        <v>426</v>
      </c>
      <c r="B427" t="s">
        <v>455</v>
      </c>
      <c r="C427" t="s">
        <v>18</v>
      </c>
      <c r="D427" t="s">
        <v>534</v>
      </c>
      <c r="E427" t="s">
        <v>543</v>
      </c>
      <c r="F427" t="s">
        <v>541</v>
      </c>
      <c r="G427">
        <v>51.97</v>
      </c>
      <c r="H427">
        <v>29.36</v>
      </c>
      <c r="I427" t="s">
        <v>537</v>
      </c>
    </row>
    <row r="428" spans="1:9" x14ac:dyDescent="0.3">
      <c r="A428">
        <v>427</v>
      </c>
      <c r="B428" t="s">
        <v>456</v>
      </c>
      <c r="C428" t="s">
        <v>19</v>
      </c>
      <c r="D428" t="s">
        <v>534</v>
      </c>
      <c r="E428" t="s">
        <v>543</v>
      </c>
      <c r="F428" t="s">
        <v>539</v>
      </c>
      <c r="G428">
        <v>36.01</v>
      </c>
      <c r="H428">
        <v>19.170000000000002</v>
      </c>
      <c r="I428" t="s">
        <v>537</v>
      </c>
    </row>
    <row r="429" spans="1:9" x14ac:dyDescent="0.3">
      <c r="A429">
        <v>428</v>
      </c>
      <c r="B429" t="s">
        <v>457</v>
      </c>
      <c r="C429" t="s">
        <v>17</v>
      </c>
      <c r="D429" t="s">
        <v>534</v>
      </c>
      <c r="E429" t="s">
        <v>540</v>
      </c>
      <c r="F429">
        <v>38</v>
      </c>
      <c r="G429">
        <v>61.22</v>
      </c>
      <c r="H429">
        <v>40.79</v>
      </c>
      <c r="I429" t="s">
        <v>537</v>
      </c>
    </row>
    <row r="430" spans="1:9" x14ac:dyDescent="0.3">
      <c r="A430">
        <v>429</v>
      </c>
      <c r="B430" t="s">
        <v>458</v>
      </c>
      <c r="C430" t="s">
        <v>16</v>
      </c>
      <c r="D430" t="s">
        <v>534</v>
      </c>
      <c r="E430" t="s">
        <v>538</v>
      </c>
      <c r="F430" t="s">
        <v>544</v>
      </c>
      <c r="G430">
        <v>43.34</v>
      </c>
      <c r="H430">
        <v>21.9</v>
      </c>
      <c r="I430" t="s">
        <v>537</v>
      </c>
    </row>
    <row r="431" spans="1:9" x14ac:dyDescent="0.3">
      <c r="A431">
        <v>430</v>
      </c>
      <c r="B431" t="s">
        <v>459</v>
      </c>
      <c r="C431" t="s">
        <v>19</v>
      </c>
      <c r="D431" t="s">
        <v>534</v>
      </c>
      <c r="E431" t="s">
        <v>535</v>
      </c>
      <c r="F431" t="s">
        <v>545</v>
      </c>
      <c r="G431">
        <v>33.979999999999997</v>
      </c>
      <c r="H431">
        <v>14.79</v>
      </c>
      <c r="I431" t="s">
        <v>537</v>
      </c>
    </row>
    <row r="432" spans="1:9" x14ac:dyDescent="0.3">
      <c r="A432">
        <v>431</v>
      </c>
      <c r="B432" t="s">
        <v>460</v>
      </c>
      <c r="C432" t="s">
        <v>17</v>
      </c>
      <c r="D432" t="s">
        <v>534</v>
      </c>
      <c r="E432" t="s">
        <v>540</v>
      </c>
      <c r="F432">
        <v>35</v>
      </c>
      <c r="G432">
        <v>30.41</v>
      </c>
      <c r="H432">
        <v>13.47</v>
      </c>
      <c r="I432" t="s">
        <v>537</v>
      </c>
    </row>
    <row r="433" spans="1:9" x14ac:dyDescent="0.3">
      <c r="A433">
        <v>432</v>
      </c>
      <c r="B433" t="s">
        <v>461</v>
      </c>
      <c r="C433" t="s">
        <v>16</v>
      </c>
      <c r="D433" t="s">
        <v>534</v>
      </c>
      <c r="E433" t="s">
        <v>540</v>
      </c>
      <c r="F433" t="s">
        <v>541</v>
      </c>
      <c r="G433">
        <v>52.39</v>
      </c>
      <c r="H433">
        <v>32.92</v>
      </c>
      <c r="I433" t="s">
        <v>537</v>
      </c>
    </row>
    <row r="434" spans="1:9" x14ac:dyDescent="0.3">
      <c r="A434">
        <v>433</v>
      </c>
      <c r="B434" t="s">
        <v>462</v>
      </c>
      <c r="C434" t="s">
        <v>20</v>
      </c>
      <c r="D434" t="s">
        <v>534</v>
      </c>
      <c r="E434" t="s">
        <v>542</v>
      </c>
      <c r="F434" t="s">
        <v>545</v>
      </c>
      <c r="G434">
        <v>60.12</v>
      </c>
      <c r="H434">
        <v>35.200000000000003</v>
      </c>
      <c r="I434" t="s">
        <v>537</v>
      </c>
    </row>
    <row r="435" spans="1:9" x14ac:dyDescent="0.3">
      <c r="A435">
        <v>434</v>
      </c>
      <c r="B435" t="s">
        <v>72</v>
      </c>
      <c r="C435" t="s">
        <v>16</v>
      </c>
      <c r="D435" t="s">
        <v>534</v>
      </c>
      <c r="E435" t="s">
        <v>540</v>
      </c>
      <c r="F435" t="s">
        <v>545</v>
      </c>
      <c r="G435">
        <v>43.14</v>
      </c>
      <c r="H435">
        <v>18.559999999999999</v>
      </c>
      <c r="I435" t="s">
        <v>537</v>
      </c>
    </row>
    <row r="436" spans="1:9" x14ac:dyDescent="0.3">
      <c r="A436">
        <v>435</v>
      </c>
      <c r="B436" t="s">
        <v>463</v>
      </c>
      <c r="C436" t="s">
        <v>20</v>
      </c>
      <c r="D436" t="s">
        <v>534</v>
      </c>
      <c r="E436" t="s">
        <v>540</v>
      </c>
      <c r="F436" t="s">
        <v>539</v>
      </c>
      <c r="G436">
        <v>64.5</v>
      </c>
      <c r="H436">
        <v>27.43</v>
      </c>
      <c r="I436" t="s">
        <v>537</v>
      </c>
    </row>
    <row r="437" spans="1:9" x14ac:dyDescent="0.3">
      <c r="A437">
        <v>436</v>
      </c>
      <c r="B437" t="s">
        <v>464</v>
      </c>
      <c r="C437" t="s">
        <v>17</v>
      </c>
      <c r="D437" t="s">
        <v>534</v>
      </c>
      <c r="E437" t="s">
        <v>540</v>
      </c>
      <c r="F437">
        <v>40</v>
      </c>
      <c r="G437">
        <v>49.81</v>
      </c>
      <c r="H437">
        <v>30.4</v>
      </c>
      <c r="I437" t="s">
        <v>537</v>
      </c>
    </row>
    <row r="438" spans="1:9" x14ac:dyDescent="0.3">
      <c r="A438">
        <v>437</v>
      </c>
      <c r="B438" t="s">
        <v>465</v>
      </c>
      <c r="C438" t="s">
        <v>18</v>
      </c>
      <c r="D438" t="s">
        <v>534</v>
      </c>
      <c r="E438" t="s">
        <v>535</v>
      </c>
      <c r="F438" t="s">
        <v>544</v>
      </c>
      <c r="G438">
        <v>62.17</v>
      </c>
      <c r="H438">
        <v>26.23</v>
      </c>
      <c r="I438" t="s">
        <v>537</v>
      </c>
    </row>
    <row r="439" spans="1:9" x14ac:dyDescent="0.3">
      <c r="A439">
        <v>438</v>
      </c>
      <c r="B439" t="s">
        <v>466</v>
      </c>
      <c r="C439" t="s">
        <v>18</v>
      </c>
      <c r="D439" t="s">
        <v>534</v>
      </c>
      <c r="E439" t="s">
        <v>540</v>
      </c>
      <c r="F439" t="s">
        <v>545</v>
      </c>
      <c r="G439">
        <v>38.74</v>
      </c>
      <c r="H439">
        <v>25.05</v>
      </c>
      <c r="I439" t="s">
        <v>537</v>
      </c>
    </row>
    <row r="440" spans="1:9" x14ac:dyDescent="0.3">
      <c r="A440">
        <v>439</v>
      </c>
      <c r="B440" t="s">
        <v>467</v>
      </c>
      <c r="C440" t="s">
        <v>20</v>
      </c>
      <c r="D440" t="s">
        <v>534</v>
      </c>
      <c r="E440" t="s">
        <v>543</v>
      </c>
      <c r="F440" t="s">
        <v>541</v>
      </c>
      <c r="G440">
        <v>53.93</v>
      </c>
      <c r="H440">
        <v>33</v>
      </c>
      <c r="I440" t="s">
        <v>537</v>
      </c>
    </row>
    <row r="441" spans="1:9" x14ac:dyDescent="0.3">
      <c r="A441">
        <v>440</v>
      </c>
      <c r="B441" t="s">
        <v>468</v>
      </c>
      <c r="C441" t="s">
        <v>17</v>
      </c>
      <c r="D441" t="s">
        <v>534</v>
      </c>
      <c r="E441" t="s">
        <v>542</v>
      </c>
      <c r="F441">
        <v>38</v>
      </c>
      <c r="G441">
        <v>52.08</v>
      </c>
      <c r="H441">
        <v>22.1</v>
      </c>
      <c r="I441" t="s">
        <v>537</v>
      </c>
    </row>
    <row r="442" spans="1:9" x14ac:dyDescent="0.3">
      <c r="A442">
        <v>441</v>
      </c>
      <c r="B442" t="s">
        <v>469</v>
      </c>
      <c r="C442" t="s">
        <v>18</v>
      </c>
      <c r="D442" t="s">
        <v>534</v>
      </c>
      <c r="E442" t="s">
        <v>542</v>
      </c>
      <c r="F442" t="s">
        <v>544</v>
      </c>
      <c r="G442">
        <v>36.99</v>
      </c>
      <c r="H442">
        <v>15.74</v>
      </c>
      <c r="I442" t="s">
        <v>537</v>
      </c>
    </row>
    <row r="443" spans="1:9" x14ac:dyDescent="0.3">
      <c r="A443">
        <v>442</v>
      </c>
      <c r="B443" t="s">
        <v>470</v>
      </c>
      <c r="C443" t="s">
        <v>18</v>
      </c>
      <c r="D443" t="s">
        <v>534</v>
      </c>
      <c r="E443" t="s">
        <v>538</v>
      </c>
      <c r="F443" t="s">
        <v>545</v>
      </c>
      <c r="G443">
        <v>53.27</v>
      </c>
      <c r="H443">
        <v>37.08</v>
      </c>
      <c r="I443" t="s">
        <v>537</v>
      </c>
    </row>
    <row r="444" spans="1:9" x14ac:dyDescent="0.3">
      <c r="A444">
        <v>443</v>
      </c>
      <c r="B444" t="s">
        <v>471</v>
      </c>
      <c r="C444" t="s">
        <v>19</v>
      </c>
      <c r="D444" t="s">
        <v>534</v>
      </c>
      <c r="E444" t="s">
        <v>543</v>
      </c>
      <c r="F444" t="s">
        <v>536</v>
      </c>
      <c r="G444">
        <v>23.13</v>
      </c>
      <c r="H444">
        <v>11.85</v>
      </c>
      <c r="I444" t="s">
        <v>537</v>
      </c>
    </row>
    <row r="445" spans="1:9" x14ac:dyDescent="0.3">
      <c r="A445">
        <v>444</v>
      </c>
      <c r="B445" t="s">
        <v>472</v>
      </c>
      <c r="C445" t="s">
        <v>18</v>
      </c>
      <c r="D445" t="s">
        <v>534</v>
      </c>
      <c r="E445" t="s">
        <v>543</v>
      </c>
      <c r="F445" t="s">
        <v>539</v>
      </c>
      <c r="G445">
        <v>61.78</v>
      </c>
      <c r="H445">
        <v>31.58</v>
      </c>
      <c r="I445" t="s">
        <v>537</v>
      </c>
    </row>
    <row r="446" spans="1:9" x14ac:dyDescent="0.3">
      <c r="A446">
        <v>445</v>
      </c>
      <c r="B446" t="s">
        <v>473</v>
      </c>
      <c r="C446" t="s">
        <v>19</v>
      </c>
      <c r="D446" t="s">
        <v>534</v>
      </c>
      <c r="E446" t="s">
        <v>538</v>
      </c>
      <c r="F446" t="s">
        <v>536</v>
      </c>
      <c r="G446">
        <v>52.28</v>
      </c>
      <c r="H446">
        <v>33.659999999999997</v>
      </c>
      <c r="I446" t="s">
        <v>537</v>
      </c>
    </row>
    <row r="447" spans="1:9" x14ac:dyDescent="0.3">
      <c r="A447">
        <v>446</v>
      </c>
      <c r="B447" t="s">
        <v>474</v>
      </c>
      <c r="C447" t="s">
        <v>16</v>
      </c>
      <c r="D447" t="s">
        <v>534</v>
      </c>
      <c r="E447" t="s">
        <v>543</v>
      </c>
      <c r="F447" t="s">
        <v>544</v>
      </c>
      <c r="G447">
        <v>55.14</v>
      </c>
      <c r="H447">
        <v>37.729999999999997</v>
      </c>
      <c r="I447" t="s">
        <v>537</v>
      </c>
    </row>
    <row r="448" spans="1:9" x14ac:dyDescent="0.3">
      <c r="A448">
        <v>447</v>
      </c>
      <c r="B448" t="s">
        <v>475</v>
      </c>
      <c r="C448" t="s">
        <v>18</v>
      </c>
      <c r="D448" t="s">
        <v>534</v>
      </c>
      <c r="E448" t="s">
        <v>535</v>
      </c>
      <c r="F448" t="s">
        <v>544</v>
      </c>
      <c r="G448">
        <v>47.66</v>
      </c>
      <c r="H448">
        <v>33.159999999999997</v>
      </c>
      <c r="I448" t="s">
        <v>537</v>
      </c>
    </row>
    <row r="449" spans="1:9" x14ac:dyDescent="0.3">
      <c r="A449">
        <v>448</v>
      </c>
      <c r="B449" t="s">
        <v>476</v>
      </c>
      <c r="C449" t="s">
        <v>18</v>
      </c>
      <c r="D449" t="s">
        <v>534</v>
      </c>
      <c r="E449" t="s">
        <v>538</v>
      </c>
      <c r="F449" t="s">
        <v>536</v>
      </c>
      <c r="G449">
        <v>75.62</v>
      </c>
      <c r="H449">
        <v>47.34</v>
      </c>
      <c r="I449" t="s">
        <v>537</v>
      </c>
    </row>
    <row r="450" spans="1:9" x14ac:dyDescent="0.3">
      <c r="A450">
        <v>449</v>
      </c>
      <c r="B450" t="s">
        <v>477</v>
      </c>
      <c r="C450" t="s">
        <v>19</v>
      </c>
      <c r="D450" t="s">
        <v>534</v>
      </c>
      <c r="E450" t="s">
        <v>535</v>
      </c>
      <c r="F450" t="s">
        <v>544</v>
      </c>
      <c r="G450">
        <v>46.9</v>
      </c>
      <c r="H450">
        <v>24.05</v>
      </c>
      <c r="I450" t="s">
        <v>537</v>
      </c>
    </row>
    <row r="451" spans="1:9" x14ac:dyDescent="0.3">
      <c r="A451">
        <v>450</v>
      </c>
      <c r="B451" t="s">
        <v>478</v>
      </c>
      <c r="C451" t="s">
        <v>19</v>
      </c>
      <c r="D451" t="s">
        <v>534</v>
      </c>
      <c r="E451" t="s">
        <v>538</v>
      </c>
      <c r="F451" t="s">
        <v>541</v>
      </c>
      <c r="G451">
        <v>50.85</v>
      </c>
      <c r="H451">
        <v>21.61</v>
      </c>
      <c r="I451" t="s">
        <v>537</v>
      </c>
    </row>
    <row r="452" spans="1:9" x14ac:dyDescent="0.3">
      <c r="A452">
        <v>451</v>
      </c>
      <c r="B452" t="s">
        <v>479</v>
      </c>
      <c r="C452" t="s">
        <v>16</v>
      </c>
      <c r="D452" t="s">
        <v>534</v>
      </c>
      <c r="E452" t="s">
        <v>542</v>
      </c>
      <c r="F452" t="s">
        <v>539</v>
      </c>
      <c r="G452">
        <v>37.799999999999997</v>
      </c>
      <c r="H452">
        <v>23.93</v>
      </c>
      <c r="I452" t="s">
        <v>537</v>
      </c>
    </row>
    <row r="453" spans="1:9" x14ac:dyDescent="0.3">
      <c r="A453">
        <v>452</v>
      </c>
      <c r="B453" t="s">
        <v>73</v>
      </c>
      <c r="C453" t="s">
        <v>18</v>
      </c>
      <c r="D453" t="s">
        <v>534</v>
      </c>
      <c r="E453" t="s">
        <v>542</v>
      </c>
      <c r="F453" t="s">
        <v>545</v>
      </c>
      <c r="G453">
        <v>30.85</v>
      </c>
      <c r="H453">
        <v>17.510000000000002</v>
      </c>
      <c r="I453" t="s">
        <v>537</v>
      </c>
    </row>
    <row r="454" spans="1:9" x14ac:dyDescent="0.3">
      <c r="A454">
        <v>453</v>
      </c>
      <c r="B454" t="s">
        <v>480</v>
      </c>
      <c r="C454" t="s">
        <v>16</v>
      </c>
      <c r="D454" t="s">
        <v>534</v>
      </c>
      <c r="E454" t="s">
        <v>540</v>
      </c>
      <c r="F454" t="s">
        <v>545</v>
      </c>
      <c r="G454">
        <v>32.049999999999997</v>
      </c>
      <c r="H454">
        <v>16.899999999999999</v>
      </c>
      <c r="I454" t="s">
        <v>537</v>
      </c>
    </row>
    <row r="455" spans="1:9" x14ac:dyDescent="0.3">
      <c r="A455">
        <v>454</v>
      </c>
      <c r="B455" t="s">
        <v>481</v>
      </c>
      <c r="C455" t="s">
        <v>19</v>
      </c>
      <c r="D455" t="s">
        <v>534</v>
      </c>
      <c r="E455" t="s">
        <v>543</v>
      </c>
      <c r="F455" t="s">
        <v>544</v>
      </c>
      <c r="G455">
        <v>35.159999999999997</v>
      </c>
      <c r="H455">
        <v>23.62</v>
      </c>
      <c r="I455" t="s">
        <v>537</v>
      </c>
    </row>
    <row r="456" spans="1:9" x14ac:dyDescent="0.3">
      <c r="A456">
        <v>455</v>
      </c>
      <c r="B456" t="s">
        <v>482</v>
      </c>
      <c r="C456" t="s">
        <v>20</v>
      </c>
      <c r="D456" t="s">
        <v>534</v>
      </c>
      <c r="E456" t="s">
        <v>538</v>
      </c>
      <c r="F456" t="s">
        <v>544</v>
      </c>
      <c r="G456">
        <v>48.03</v>
      </c>
      <c r="H456">
        <v>20.81</v>
      </c>
      <c r="I456" t="s">
        <v>537</v>
      </c>
    </row>
    <row r="457" spans="1:9" x14ac:dyDescent="0.3">
      <c r="A457">
        <v>456</v>
      </c>
      <c r="B457" t="s">
        <v>483</v>
      </c>
      <c r="C457" t="s">
        <v>18</v>
      </c>
      <c r="D457" t="s">
        <v>534</v>
      </c>
      <c r="E457" t="s">
        <v>540</v>
      </c>
      <c r="F457" t="s">
        <v>541</v>
      </c>
      <c r="G457">
        <v>39.090000000000003</v>
      </c>
      <c r="H457">
        <v>21.41</v>
      </c>
      <c r="I457" t="s">
        <v>537</v>
      </c>
    </row>
    <row r="458" spans="1:9" x14ac:dyDescent="0.3">
      <c r="A458">
        <v>457</v>
      </c>
      <c r="B458" t="s">
        <v>484</v>
      </c>
      <c r="C458" t="s">
        <v>16</v>
      </c>
      <c r="D458" t="s">
        <v>534</v>
      </c>
      <c r="E458" t="s">
        <v>543</v>
      </c>
      <c r="F458" t="s">
        <v>541</v>
      </c>
      <c r="G458">
        <v>31.61</v>
      </c>
      <c r="H458">
        <v>12.75</v>
      </c>
      <c r="I458" t="s">
        <v>537</v>
      </c>
    </row>
    <row r="459" spans="1:9" x14ac:dyDescent="0.3">
      <c r="A459">
        <v>458</v>
      </c>
      <c r="B459" t="s">
        <v>485</v>
      </c>
      <c r="C459" t="s">
        <v>19</v>
      </c>
      <c r="D459" t="s">
        <v>534</v>
      </c>
      <c r="E459" t="s">
        <v>538</v>
      </c>
      <c r="F459" t="s">
        <v>536</v>
      </c>
      <c r="G459">
        <v>53.35</v>
      </c>
      <c r="H459">
        <v>28.84</v>
      </c>
      <c r="I459" t="s">
        <v>537</v>
      </c>
    </row>
    <row r="460" spans="1:9" x14ac:dyDescent="0.3">
      <c r="A460">
        <v>459</v>
      </c>
      <c r="B460" t="s">
        <v>486</v>
      </c>
      <c r="C460" t="s">
        <v>18</v>
      </c>
      <c r="D460" t="s">
        <v>534</v>
      </c>
      <c r="E460" t="s">
        <v>535</v>
      </c>
      <c r="F460" t="s">
        <v>545</v>
      </c>
      <c r="G460">
        <v>75.17</v>
      </c>
      <c r="H460">
        <v>31.34</v>
      </c>
      <c r="I460" t="s">
        <v>537</v>
      </c>
    </row>
    <row r="461" spans="1:9" x14ac:dyDescent="0.3">
      <c r="A461">
        <v>460</v>
      </c>
      <c r="B461" t="s">
        <v>487</v>
      </c>
      <c r="C461" t="s">
        <v>16</v>
      </c>
      <c r="D461" t="s">
        <v>534</v>
      </c>
      <c r="E461" t="s">
        <v>543</v>
      </c>
      <c r="F461" t="s">
        <v>541</v>
      </c>
      <c r="G461">
        <v>48.64</v>
      </c>
      <c r="H461">
        <v>21.19</v>
      </c>
      <c r="I461" t="s">
        <v>537</v>
      </c>
    </row>
    <row r="462" spans="1:9" x14ac:dyDescent="0.3">
      <c r="A462">
        <v>461</v>
      </c>
      <c r="B462" t="s">
        <v>488</v>
      </c>
      <c r="C462" t="s">
        <v>16</v>
      </c>
      <c r="D462" t="s">
        <v>534</v>
      </c>
      <c r="E462" t="s">
        <v>535</v>
      </c>
      <c r="F462" t="s">
        <v>541</v>
      </c>
      <c r="G462">
        <v>54.91</v>
      </c>
      <c r="H462">
        <v>23.9</v>
      </c>
      <c r="I462" t="s">
        <v>537</v>
      </c>
    </row>
    <row r="463" spans="1:9" x14ac:dyDescent="0.3">
      <c r="A463">
        <v>462</v>
      </c>
      <c r="B463" t="s">
        <v>489</v>
      </c>
      <c r="C463" t="s">
        <v>19</v>
      </c>
      <c r="D463" t="s">
        <v>534</v>
      </c>
      <c r="E463" t="s">
        <v>538</v>
      </c>
      <c r="F463" t="s">
        <v>545</v>
      </c>
      <c r="G463">
        <v>28.58</v>
      </c>
      <c r="H463">
        <v>17</v>
      </c>
      <c r="I463" t="s">
        <v>537</v>
      </c>
    </row>
    <row r="464" spans="1:9" x14ac:dyDescent="0.3">
      <c r="A464">
        <v>463</v>
      </c>
      <c r="B464" t="s">
        <v>490</v>
      </c>
      <c r="C464" t="s">
        <v>18</v>
      </c>
      <c r="D464" t="s">
        <v>534</v>
      </c>
      <c r="E464" t="s">
        <v>540</v>
      </c>
      <c r="F464" t="s">
        <v>536</v>
      </c>
      <c r="G464">
        <v>70.56</v>
      </c>
      <c r="H464">
        <v>44.02</v>
      </c>
      <c r="I464" t="s">
        <v>537</v>
      </c>
    </row>
    <row r="465" spans="1:9" x14ac:dyDescent="0.3">
      <c r="A465">
        <v>464</v>
      </c>
      <c r="B465" t="s">
        <v>491</v>
      </c>
      <c r="C465" t="s">
        <v>17</v>
      </c>
      <c r="D465" t="s">
        <v>534</v>
      </c>
      <c r="E465" t="s">
        <v>538</v>
      </c>
      <c r="F465" t="s">
        <v>545</v>
      </c>
      <c r="G465">
        <v>59.58</v>
      </c>
      <c r="H465">
        <v>34.26</v>
      </c>
      <c r="I465" t="s">
        <v>537</v>
      </c>
    </row>
    <row r="466" spans="1:9" x14ac:dyDescent="0.3">
      <c r="A466">
        <v>465</v>
      </c>
      <c r="B466" t="s">
        <v>492</v>
      </c>
      <c r="C466" t="s">
        <v>19</v>
      </c>
      <c r="D466" t="s">
        <v>534</v>
      </c>
      <c r="E466" t="s">
        <v>535</v>
      </c>
      <c r="F466" t="s">
        <v>536</v>
      </c>
      <c r="G466">
        <v>28.98</v>
      </c>
      <c r="H466">
        <v>19.96</v>
      </c>
      <c r="I466" t="s">
        <v>537</v>
      </c>
    </row>
    <row r="467" spans="1:9" x14ac:dyDescent="0.3">
      <c r="A467">
        <v>466</v>
      </c>
      <c r="B467" t="s">
        <v>493</v>
      </c>
      <c r="C467" t="s">
        <v>16</v>
      </c>
      <c r="D467" t="s">
        <v>534</v>
      </c>
      <c r="E467" t="s">
        <v>542</v>
      </c>
      <c r="F467" t="s">
        <v>539</v>
      </c>
      <c r="G467">
        <v>59.9</v>
      </c>
      <c r="H467">
        <v>30.7</v>
      </c>
      <c r="I467" t="s">
        <v>537</v>
      </c>
    </row>
    <row r="468" spans="1:9" x14ac:dyDescent="0.3">
      <c r="A468">
        <v>467</v>
      </c>
      <c r="B468" t="s">
        <v>494</v>
      </c>
      <c r="C468" t="s">
        <v>20</v>
      </c>
      <c r="D468" t="s">
        <v>534</v>
      </c>
      <c r="E468" t="s">
        <v>543</v>
      </c>
      <c r="F468" t="s">
        <v>541</v>
      </c>
      <c r="G468">
        <v>39.22</v>
      </c>
      <c r="H468">
        <v>19.05</v>
      </c>
      <c r="I468" t="s">
        <v>537</v>
      </c>
    </row>
    <row r="469" spans="1:9" x14ac:dyDescent="0.3">
      <c r="A469">
        <v>468</v>
      </c>
      <c r="B469" t="s">
        <v>495</v>
      </c>
      <c r="C469" t="s">
        <v>19</v>
      </c>
      <c r="D469" t="s">
        <v>534</v>
      </c>
      <c r="E469" t="s">
        <v>542</v>
      </c>
      <c r="F469" t="s">
        <v>539</v>
      </c>
      <c r="G469">
        <v>51.8</v>
      </c>
      <c r="H469">
        <v>34.22</v>
      </c>
      <c r="I469" t="s">
        <v>537</v>
      </c>
    </row>
    <row r="470" spans="1:9" x14ac:dyDescent="0.3">
      <c r="A470">
        <v>469</v>
      </c>
      <c r="B470" t="s">
        <v>496</v>
      </c>
      <c r="C470" t="s">
        <v>18</v>
      </c>
      <c r="D470" t="s">
        <v>534</v>
      </c>
      <c r="E470" t="s">
        <v>542</v>
      </c>
      <c r="F470" t="s">
        <v>544</v>
      </c>
      <c r="G470">
        <v>64.08</v>
      </c>
      <c r="H470">
        <v>29.93</v>
      </c>
      <c r="I470" t="s">
        <v>537</v>
      </c>
    </row>
    <row r="471" spans="1:9" x14ac:dyDescent="0.3">
      <c r="A471">
        <v>470</v>
      </c>
      <c r="B471" t="s">
        <v>497</v>
      </c>
      <c r="C471" t="s">
        <v>19</v>
      </c>
      <c r="D471" t="s">
        <v>534</v>
      </c>
      <c r="E471" t="s">
        <v>538</v>
      </c>
      <c r="F471" t="s">
        <v>539</v>
      </c>
      <c r="G471">
        <v>67.73</v>
      </c>
      <c r="H471">
        <v>46.66</v>
      </c>
      <c r="I471" t="s">
        <v>537</v>
      </c>
    </row>
    <row r="472" spans="1:9" x14ac:dyDescent="0.3">
      <c r="A472">
        <v>471</v>
      </c>
      <c r="B472" t="s">
        <v>74</v>
      </c>
      <c r="C472" t="s">
        <v>16</v>
      </c>
      <c r="D472" t="s">
        <v>534</v>
      </c>
      <c r="E472" t="s">
        <v>543</v>
      </c>
      <c r="F472" t="s">
        <v>544</v>
      </c>
      <c r="G472">
        <v>40.92</v>
      </c>
      <c r="H472">
        <v>16.52</v>
      </c>
      <c r="I472" t="s">
        <v>537</v>
      </c>
    </row>
    <row r="473" spans="1:9" x14ac:dyDescent="0.3">
      <c r="A473">
        <v>472</v>
      </c>
      <c r="B473" t="s">
        <v>498</v>
      </c>
      <c r="C473" t="s">
        <v>20</v>
      </c>
      <c r="D473" t="s">
        <v>534</v>
      </c>
      <c r="E473" t="s">
        <v>538</v>
      </c>
      <c r="F473" t="s">
        <v>539</v>
      </c>
      <c r="G473">
        <v>59.9</v>
      </c>
      <c r="H473">
        <v>41.39</v>
      </c>
      <c r="I473" t="s">
        <v>537</v>
      </c>
    </row>
    <row r="474" spans="1:9" x14ac:dyDescent="0.3">
      <c r="A474">
        <v>473</v>
      </c>
      <c r="B474" t="s">
        <v>499</v>
      </c>
      <c r="C474" t="s">
        <v>18</v>
      </c>
      <c r="D474" t="s">
        <v>534</v>
      </c>
      <c r="E474" t="s">
        <v>540</v>
      </c>
      <c r="F474" t="s">
        <v>541</v>
      </c>
      <c r="G474">
        <v>57.98</v>
      </c>
      <c r="H474">
        <v>23.94</v>
      </c>
      <c r="I474" t="s">
        <v>537</v>
      </c>
    </row>
    <row r="475" spans="1:9" x14ac:dyDescent="0.3">
      <c r="A475">
        <v>474</v>
      </c>
      <c r="B475" t="s">
        <v>500</v>
      </c>
      <c r="C475" t="s">
        <v>17</v>
      </c>
      <c r="D475" t="s">
        <v>534</v>
      </c>
      <c r="E475" t="s">
        <v>542</v>
      </c>
      <c r="F475" t="s">
        <v>545</v>
      </c>
      <c r="G475">
        <v>68.47</v>
      </c>
      <c r="H475">
        <v>45.69</v>
      </c>
      <c r="I475" t="s">
        <v>537</v>
      </c>
    </row>
    <row r="476" spans="1:9" x14ac:dyDescent="0.3">
      <c r="A476">
        <v>475</v>
      </c>
      <c r="B476" t="s">
        <v>501</v>
      </c>
      <c r="C476" t="s">
        <v>18</v>
      </c>
      <c r="D476" t="s">
        <v>534</v>
      </c>
      <c r="E476" t="s">
        <v>542</v>
      </c>
      <c r="F476" t="s">
        <v>536</v>
      </c>
      <c r="G476">
        <v>39.69</v>
      </c>
      <c r="H476">
        <v>22.16</v>
      </c>
      <c r="I476" t="s">
        <v>537</v>
      </c>
    </row>
    <row r="477" spans="1:9" x14ac:dyDescent="0.3">
      <c r="A477">
        <v>476</v>
      </c>
      <c r="B477" t="s">
        <v>502</v>
      </c>
      <c r="C477" t="s">
        <v>17</v>
      </c>
      <c r="D477" t="s">
        <v>534</v>
      </c>
      <c r="E477" t="s">
        <v>543</v>
      </c>
      <c r="F477">
        <v>36</v>
      </c>
      <c r="G477">
        <v>42.72</v>
      </c>
      <c r="H477">
        <v>29.81</v>
      </c>
      <c r="I477" t="s">
        <v>537</v>
      </c>
    </row>
    <row r="478" spans="1:9" x14ac:dyDescent="0.3">
      <c r="A478">
        <v>477</v>
      </c>
      <c r="B478" t="s">
        <v>503</v>
      </c>
      <c r="C478" t="s">
        <v>17</v>
      </c>
      <c r="D478" t="s">
        <v>534</v>
      </c>
      <c r="E478" t="s">
        <v>542</v>
      </c>
      <c r="F478">
        <v>36</v>
      </c>
      <c r="G478">
        <v>38.9</v>
      </c>
      <c r="H478">
        <v>16.420000000000002</v>
      </c>
      <c r="I478" t="s">
        <v>537</v>
      </c>
    </row>
    <row r="479" spans="1:9" x14ac:dyDescent="0.3">
      <c r="A479">
        <v>478</v>
      </c>
      <c r="B479" t="s">
        <v>504</v>
      </c>
      <c r="C479" t="s">
        <v>16</v>
      </c>
      <c r="D479" t="s">
        <v>534</v>
      </c>
      <c r="E479" t="s">
        <v>540</v>
      </c>
      <c r="F479" t="s">
        <v>539</v>
      </c>
      <c r="G479">
        <v>66.52</v>
      </c>
      <c r="H479">
        <v>37.659999999999997</v>
      </c>
      <c r="I479" t="s">
        <v>537</v>
      </c>
    </row>
    <row r="480" spans="1:9" x14ac:dyDescent="0.3">
      <c r="A480">
        <v>479</v>
      </c>
      <c r="B480" t="s">
        <v>505</v>
      </c>
      <c r="C480" t="s">
        <v>18</v>
      </c>
      <c r="D480" t="s">
        <v>534</v>
      </c>
      <c r="E480" t="s">
        <v>540</v>
      </c>
      <c r="F480" t="s">
        <v>536</v>
      </c>
      <c r="G480">
        <v>47.42</v>
      </c>
      <c r="H480">
        <v>32.76</v>
      </c>
      <c r="I480" t="s">
        <v>537</v>
      </c>
    </row>
    <row r="481" spans="1:9" x14ac:dyDescent="0.3">
      <c r="A481">
        <v>480</v>
      </c>
      <c r="B481" t="s">
        <v>506</v>
      </c>
      <c r="C481" t="s">
        <v>18</v>
      </c>
      <c r="D481" t="s">
        <v>534</v>
      </c>
      <c r="E481" t="s">
        <v>543</v>
      </c>
      <c r="F481" t="s">
        <v>539</v>
      </c>
      <c r="G481">
        <v>51.63</v>
      </c>
      <c r="H481">
        <v>28.75</v>
      </c>
      <c r="I481" t="s">
        <v>537</v>
      </c>
    </row>
    <row r="482" spans="1:9" x14ac:dyDescent="0.3">
      <c r="A482">
        <v>481</v>
      </c>
      <c r="B482" t="s">
        <v>507</v>
      </c>
      <c r="C482" t="s">
        <v>17</v>
      </c>
      <c r="D482" t="s">
        <v>534</v>
      </c>
      <c r="E482" t="s">
        <v>540</v>
      </c>
      <c r="F482">
        <v>40</v>
      </c>
      <c r="G482">
        <v>54.87</v>
      </c>
      <c r="H482">
        <v>32.31</v>
      </c>
      <c r="I482" t="s">
        <v>537</v>
      </c>
    </row>
    <row r="483" spans="1:9" x14ac:dyDescent="0.3">
      <c r="A483">
        <v>482</v>
      </c>
      <c r="B483" t="s">
        <v>508</v>
      </c>
      <c r="C483" t="s">
        <v>18</v>
      </c>
      <c r="D483" t="s">
        <v>534</v>
      </c>
      <c r="E483" t="s">
        <v>540</v>
      </c>
      <c r="F483" t="s">
        <v>539</v>
      </c>
      <c r="G483">
        <v>47.59</v>
      </c>
      <c r="H483">
        <v>28.97</v>
      </c>
      <c r="I483" t="s">
        <v>537</v>
      </c>
    </row>
    <row r="484" spans="1:9" x14ac:dyDescent="0.3">
      <c r="A484">
        <v>483</v>
      </c>
      <c r="B484" t="s">
        <v>509</v>
      </c>
      <c r="C484" t="s">
        <v>16</v>
      </c>
      <c r="D484" t="s">
        <v>534</v>
      </c>
      <c r="E484" t="s">
        <v>542</v>
      </c>
      <c r="F484" t="s">
        <v>536</v>
      </c>
      <c r="G484">
        <v>60.89</v>
      </c>
      <c r="H484">
        <v>32.659999999999997</v>
      </c>
      <c r="I484" t="s">
        <v>537</v>
      </c>
    </row>
    <row r="485" spans="1:9" x14ac:dyDescent="0.3">
      <c r="A485">
        <v>484</v>
      </c>
      <c r="B485" t="s">
        <v>510</v>
      </c>
      <c r="C485" t="s">
        <v>20</v>
      </c>
      <c r="D485" t="s">
        <v>534</v>
      </c>
      <c r="E485" t="s">
        <v>535</v>
      </c>
      <c r="F485" t="s">
        <v>541</v>
      </c>
      <c r="G485">
        <v>38.49</v>
      </c>
      <c r="H485">
        <v>22.64</v>
      </c>
      <c r="I485" t="s">
        <v>537</v>
      </c>
    </row>
    <row r="486" spans="1:9" x14ac:dyDescent="0.3">
      <c r="A486">
        <v>485</v>
      </c>
      <c r="B486" t="s">
        <v>511</v>
      </c>
      <c r="C486" t="s">
        <v>17</v>
      </c>
      <c r="D486" t="s">
        <v>534</v>
      </c>
      <c r="E486" t="s">
        <v>540</v>
      </c>
      <c r="F486">
        <v>38</v>
      </c>
      <c r="G486">
        <v>56.2</v>
      </c>
      <c r="H486">
        <v>32.33</v>
      </c>
      <c r="I486" t="s">
        <v>537</v>
      </c>
    </row>
    <row r="487" spans="1:9" x14ac:dyDescent="0.3">
      <c r="A487">
        <v>486</v>
      </c>
      <c r="B487" t="s">
        <v>512</v>
      </c>
      <c r="C487" t="s">
        <v>16</v>
      </c>
      <c r="D487" t="s">
        <v>534</v>
      </c>
      <c r="E487" t="s">
        <v>543</v>
      </c>
      <c r="F487" t="s">
        <v>541</v>
      </c>
      <c r="G487">
        <v>68.03</v>
      </c>
      <c r="H487">
        <v>45.6</v>
      </c>
      <c r="I487" t="s">
        <v>537</v>
      </c>
    </row>
    <row r="488" spans="1:9" x14ac:dyDescent="0.3">
      <c r="A488">
        <v>487</v>
      </c>
      <c r="B488" t="s">
        <v>513</v>
      </c>
      <c r="C488" t="s">
        <v>17</v>
      </c>
      <c r="D488" t="s">
        <v>534</v>
      </c>
      <c r="E488" t="s">
        <v>543</v>
      </c>
      <c r="F488">
        <v>38</v>
      </c>
      <c r="G488">
        <v>49.84</v>
      </c>
      <c r="H488">
        <v>20.62</v>
      </c>
      <c r="I488" t="s">
        <v>537</v>
      </c>
    </row>
    <row r="489" spans="1:9" x14ac:dyDescent="0.3">
      <c r="A489">
        <v>488</v>
      </c>
      <c r="B489" t="s">
        <v>514</v>
      </c>
      <c r="C489" t="s">
        <v>19</v>
      </c>
      <c r="D489" t="s">
        <v>534</v>
      </c>
      <c r="E489" t="s">
        <v>542</v>
      </c>
      <c r="F489" t="s">
        <v>541</v>
      </c>
      <c r="G489">
        <v>50.68</v>
      </c>
      <c r="H489">
        <v>24.54</v>
      </c>
      <c r="I489" t="s">
        <v>537</v>
      </c>
    </row>
    <row r="490" spans="1:9" x14ac:dyDescent="0.3">
      <c r="A490">
        <v>489</v>
      </c>
      <c r="B490" t="s">
        <v>515</v>
      </c>
      <c r="C490" t="s">
        <v>16</v>
      </c>
      <c r="D490" t="s">
        <v>534</v>
      </c>
      <c r="E490" t="s">
        <v>542</v>
      </c>
      <c r="F490" t="s">
        <v>539</v>
      </c>
      <c r="G490">
        <v>44.21</v>
      </c>
      <c r="H490">
        <v>30.29</v>
      </c>
      <c r="I490" t="s">
        <v>537</v>
      </c>
    </row>
    <row r="491" spans="1:9" x14ac:dyDescent="0.3">
      <c r="A491">
        <v>490</v>
      </c>
      <c r="B491" t="s">
        <v>516</v>
      </c>
      <c r="C491" t="s">
        <v>17</v>
      </c>
      <c r="D491" t="s">
        <v>534</v>
      </c>
      <c r="E491" t="s">
        <v>543</v>
      </c>
      <c r="F491">
        <v>35</v>
      </c>
      <c r="G491">
        <v>39.42</v>
      </c>
      <c r="H491">
        <v>26.3</v>
      </c>
      <c r="I491" t="s">
        <v>537</v>
      </c>
    </row>
    <row r="492" spans="1:9" x14ac:dyDescent="0.3">
      <c r="A492">
        <v>491</v>
      </c>
      <c r="B492" t="s">
        <v>517</v>
      </c>
      <c r="C492" t="s">
        <v>16</v>
      </c>
      <c r="D492" t="s">
        <v>534</v>
      </c>
      <c r="E492" t="s">
        <v>535</v>
      </c>
      <c r="F492" t="s">
        <v>544</v>
      </c>
      <c r="G492">
        <v>22.66</v>
      </c>
      <c r="H492">
        <v>12.16</v>
      </c>
      <c r="I492" t="s">
        <v>537</v>
      </c>
    </row>
    <row r="493" spans="1:9" x14ac:dyDescent="0.3">
      <c r="A493">
        <v>492</v>
      </c>
      <c r="B493" t="s">
        <v>518</v>
      </c>
      <c r="C493" t="s">
        <v>20</v>
      </c>
      <c r="D493" t="s">
        <v>534</v>
      </c>
      <c r="E493" t="s">
        <v>535</v>
      </c>
      <c r="F493" t="s">
        <v>539</v>
      </c>
      <c r="G493">
        <v>37.119999999999997</v>
      </c>
      <c r="H493">
        <v>21.75</v>
      </c>
      <c r="I493" t="s">
        <v>537</v>
      </c>
    </row>
    <row r="494" spans="1:9" x14ac:dyDescent="0.3">
      <c r="A494">
        <v>493</v>
      </c>
      <c r="B494" t="s">
        <v>519</v>
      </c>
      <c r="C494" t="s">
        <v>20</v>
      </c>
      <c r="D494" t="s">
        <v>534</v>
      </c>
      <c r="E494" t="s">
        <v>540</v>
      </c>
      <c r="F494" t="s">
        <v>545</v>
      </c>
      <c r="G494">
        <v>57.37</v>
      </c>
      <c r="H494">
        <v>27.72</v>
      </c>
      <c r="I494" t="s">
        <v>537</v>
      </c>
    </row>
    <row r="495" spans="1:9" x14ac:dyDescent="0.3">
      <c r="A495">
        <v>494</v>
      </c>
      <c r="B495" t="s">
        <v>520</v>
      </c>
      <c r="C495" t="s">
        <v>16</v>
      </c>
      <c r="D495" t="s">
        <v>534</v>
      </c>
      <c r="E495" t="s">
        <v>542</v>
      </c>
      <c r="F495" t="s">
        <v>536</v>
      </c>
      <c r="G495">
        <v>53.52</v>
      </c>
      <c r="H495">
        <v>24.43</v>
      </c>
      <c r="I495" t="s">
        <v>537</v>
      </c>
    </row>
    <row r="496" spans="1:9" x14ac:dyDescent="0.3">
      <c r="A496">
        <v>495</v>
      </c>
      <c r="B496" t="s">
        <v>521</v>
      </c>
      <c r="C496" t="s">
        <v>18</v>
      </c>
      <c r="D496" t="s">
        <v>534</v>
      </c>
      <c r="E496" t="s">
        <v>540</v>
      </c>
      <c r="F496" t="s">
        <v>545</v>
      </c>
      <c r="G496">
        <v>36.65</v>
      </c>
      <c r="H496">
        <v>19.760000000000002</v>
      </c>
      <c r="I496" t="s">
        <v>537</v>
      </c>
    </row>
    <row r="497" spans="1:9" x14ac:dyDescent="0.3">
      <c r="A497">
        <v>496</v>
      </c>
      <c r="B497" t="s">
        <v>75</v>
      </c>
      <c r="C497" t="s">
        <v>20</v>
      </c>
      <c r="D497" t="s">
        <v>534</v>
      </c>
      <c r="E497" t="s">
        <v>543</v>
      </c>
      <c r="F497" t="s">
        <v>536</v>
      </c>
      <c r="G497">
        <v>54.61</v>
      </c>
      <c r="H497">
        <v>27.63</v>
      </c>
      <c r="I497" t="s">
        <v>537</v>
      </c>
    </row>
    <row r="498" spans="1:9" x14ac:dyDescent="0.3">
      <c r="A498">
        <v>497</v>
      </c>
      <c r="B498" t="s">
        <v>522</v>
      </c>
      <c r="C498" t="s">
        <v>18</v>
      </c>
      <c r="D498" t="s">
        <v>534</v>
      </c>
      <c r="E498" t="s">
        <v>543</v>
      </c>
      <c r="F498" t="s">
        <v>544</v>
      </c>
      <c r="G498">
        <v>36.049999999999997</v>
      </c>
      <c r="H498">
        <v>20.73</v>
      </c>
      <c r="I498" t="s">
        <v>537</v>
      </c>
    </row>
    <row r="499" spans="1:9" x14ac:dyDescent="0.3">
      <c r="A499">
        <v>498</v>
      </c>
      <c r="B499" t="s">
        <v>523</v>
      </c>
      <c r="C499" t="s">
        <v>16</v>
      </c>
      <c r="D499" t="s">
        <v>534</v>
      </c>
      <c r="E499" t="s">
        <v>538</v>
      </c>
      <c r="F499" t="s">
        <v>544</v>
      </c>
      <c r="G499">
        <v>38.33</v>
      </c>
      <c r="H499">
        <v>16.23</v>
      </c>
      <c r="I499" t="s">
        <v>537</v>
      </c>
    </row>
    <row r="500" spans="1:9" x14ac:dyDescent="0.3">
      <c r="A500">
        <v>499</v>
      </c>
      <c r="B500" t="s">
        <v>524</v>
      </c>
      <c r="C500" t="s">
        <v>19</v>
      </c>
      <c r="D500" t="s">
        <v>534</v>
      </c>
      <c r="E500" t="s">
        <v>535</v>
      </c>
      <c r="F500" t="s">
        <v>541</v>
      </c>
      <c r="G500">
        <v>30.07</v>
      </c>
      <c r="H500">
        <v>20.82</v>
      </c>
      <c r="I500" t="s">
        <v>537</v>
      </c>
    </row>
    <row r="501" spans="1:9" x14ac:dyDescent="0.3">
      <c r="A501">
        <v>500</v>
      </c>
      <c r="B501" t="s">
        <v>525</v>
      </c>
      <c r="C501" t="s">
        <v>18</v>
      </c>
      <c r="D501" t="s">
        <v>534</v>
      </c>
      <c r="E501" t="s">
        <v>538</v>
      </c>
      <c r="F501" t="s">
        <v>545</v>
      </c>
      <c r="G501">
        <v>38.03</v>
      </c>
      <c r="H501">
        <v>26.46</v>
      </c>
      <c r="I501" t="s">
        <v>537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842D0-8F83-4D02-BECE-8837FBA6C446}">
  <dimension ref="A1:J501"/>
  <sheetViews>
    <sheetView workbookViewId="0">
      <selection activeCell="I6" sqref="I6"/>
    </sheetView>
  </sheetViews>
  <sheetFormatPr baseColWidth="10" defaultRowHeight="16.5" x14ac:dyDescent="0.3"/>
  <cols>
    <col min="1" max="1" width="10" bestFit="1" customWidth="1"/>
    <col min="2" max="2" width="13.375" bestFit="1" customWidth="1"/>
    <col min="3" max="3" width="16" bestFit="1" customWidth="1"/>
    <col min="4" max="4" width="25.75" bestFit="1" customWidth="1"/>
    <col min="5" max="5" width="11.375" bestFit="1" customWidth="1"/>
    <col min="8" max="8" width="25.75" bestFit="1" customWidth="1"/>
    <col min="9" max="9" width="5.875" bestFit="1" customWidth="1"/>
  </cols>
  <sheetData>
    <row r="1" spans="1:10" x14ac:dyDescent="0.3">
      <c r="A1" t="s">
        <v>549</v>
      </c>
      <c r="B1" t="s">
        <v>548</v>
      </c>
      <c r="C1" t="s">
        <v>527</v>
      </c>
      <c r="D1" t="s">
        <v>547</v>
      </c>
      <c r="E1" t="s">
        <v>546</v>
      </c>
    </row>
    <row r="2" spans="1:10" x14ac:dyDescent="0.3">
      <c r="A2" t="s">
        <v>8</v>
      </c>
      <c r="B2">
        <v>1</v>
      </c>
      <c r="C2">
        <v>61</v>
      </c>
      <c r="D2" t="str">
        <f>_xlfn.XLOOKUP(Tabla36[[#This Row],[Product ID]],Tabla44[[#This Row],[product_id]],Tabla44[[#This Row],[product_name]])</f>
        <v>Soft Wrap Dress</v>
      </c>
      <c r="E2" t="str">
        <f>_xlfn.XLOOKUP(Tabla36[[#This Row],[Product ID]],Tabla44[[#This Row],[product_id]],Tabla44[[#This Row],[category]])</f>
        <v>Dresses</v>
      </c>
    </row>
    <row r="3" spans="1:10" x14ac:dyDescent="0.3">
      <c r="A3" t="s">
        <v>8</v>
      </c>
      <c r="B3">
        <v>2</v>
      </c>
      <c r="C3">
        <v>24</v>
      </c>
      <c r="D3" t="str">
        <f>_xlfn.XLOOKUP(Tabla36[[#This Row],[Product ID]],Tabla44[[#This Row],[product_id]],Tabla44[[#This Row],[product_name]])</f>
        <v>Soft Wrap Tee</v>
      </c>
      <c r="E3" t="str">
        <f>_xlfn.XLOOKUP(Tabla36[[#This Row],[Product ID]],Tabla44[[#This Row],[product_id]],Tabla44[[#This Row],[category]])</f>
        <v>T-Shirts</v>
      </c>
    </row>
    <row r="4" spans="1:10" x14ac:dyDescent="0.3">
      <c r="A4" t="s">
        <v>8</v>
      </c>
      <c r="B4">
        <v>3</v>
      </c>
      <c r="C4">
        <v>81</v>
      </c>
      <c r="D4" t="str">
        <f>_xlfn.XLOOKUP(Tabla36[[#This Row],[Product ID]],Tabla44[[#This Row],[product_id]],Tabla44[[#This Row],[product_name]])</f>
        <v>Soft Linen Tee</v>
      </c>
      <c r="E4" t="str">
        <f>_xlfn.XLOOKUP(Tabla36[[#This Row],[Product ID]],Tabla44[[#This Row],[product_id]],Tabla44[[#This Row],[category]])</f>
        <v>T-Shirts</v>
      </c>
      <c r="H4" s="16"/>
      <c r="I4" s="17"/>
      <c r="J4" s="18"/>
    </row>
    <row r="5" spans="1:10" x14ac:dyDescent="0.3">
      <c r="A5" t="s">
        <v>8</v>
      </c>
      <c r="B5">
        <v>4</v>
      </c>
      <c r="C5">
        <v>70</v>
      </c>
      <c r="D5" t="str">
        <f>_xlfn.XLOOKUP(Tabla36[[#This Row],[Product ID]],Tabla44[[#This Row],[product_id]],Tabla44[[#This Row],[product_name]])</f>
        <v>Soft Ribbed Tee</v>
      </c>
      <c r="E5" t="str">
        <f>_xlfn.XLOOKUP(Tabla36[[#This Row],[Product ID]],Tabla44[[#This Row],[product_id]],Tabla44[[#This Row],[category]])</f>
        <v>T-Shirts</v>
      </c>
      <c r="H5" s="19"/>
      <c r="I5" s="20"/>
      <c r="J5" s="21"/>
    </row>
    <row r="6" spans="1:10" x14ac:dyDescent="0.3">
      <c r="A6" t="s">
        <v>8</v>
      </c>
      <c r="B6">
        <v>5</v>
      </c>
      <c r="C6">
        <v>30</v>
      </c>
      <c r="D6" t="str">
        <f>_xlfn.XLOOKUP(Tabla36[[#This Row],[Product ID]],Tabla44[[#This Row],[product_id]],Tabla44[[#This Row],[product_name]])</f>
        <v>Soft Wrap Trousers</v>
      </c>
      <c r="E6" t="str">
        <f>_xlfn.XLOOKUP(Tabla36[[#This Row],[Product ID]],Tabla44[[#This Row],[product_id]],Tabla44[[#This Row],[category]])</f>
        <v>Pants</v>
      </c>
      <c r="H6" s="19"/>
      <c r="I6" s="20"/>
      <c r="J6" s="21"/>
    </row>
    <row r="7" spans="1:10" x14ac:dyDescent="0.3">
      <c r="A7" t="s">
        <v>8</v>
      </c>
      <c r="B7">
        <v>6</v>
      </c>
      <c r="C7">
        <v>92</v>
      </c>
      <c r="D7" t="str">
        <f>_xlfn.XLOOKUP(Tabla36[[#This Row],[Product ID]],Tabla44[[#This Row],[product_id]],Tabla44[[#This Row],[product_name]])</f>
        <v>Soft Wrap Shoes</v>
      </c>
      <c r="E7" t="str">
        <f>_xlfn.XLOOKUP(Tabla36[[#This Row],[Product ID]],Tabla44[[#This Row],[product_id]],Tabla44[[#This Row],[category]])</f>
        <v>Shoes</v>
      </c>
      <c r="H7" s="19"/>
      <c r="I7" s="20"/>
      <c r="J7" s="21"/>
    </row>
    <row r="8" spans="1:10" x14ac:dyDescent="0.3">
      <c r="A8" t="s">
        <v>8</v>
      </c>
      <c r="B8">
        <v>7</v>
      </c>
      <c r="C8">
        <v>96</v>
      </c>
      <c r="D8" t="str">
        <f>_xlfn.XLOOKUP(Tabla36[[#This Row],[Product ID]],Tabla44[[#This Row],[product_id]],Tabla44[[#This Row],[product_name]])</f>
        <v>Soft Linen Dress</v>
      </c>
      <c r="E8" t="str">
        <f>_xlfn.XLOOKUP(Tabla36[[#This Row],[Product ID]],Tabla44[[#This Row],[product_id]],Tabla44[[#This Row],[category]])</f>
        <v>Dresses</v>
      </c>
      <c r="H8" s="19"/>
      <c r="I8" s="20"/>
      <c r="J8" s="21"/>
    </row>
    <row r="9" spans="1:10" x14ac:dyDescent="0.3">
      <c r="A9" t="s">
        <v>8</v>
      </c>
      <c r="B9">
        <v>8</v>
      </c>
      <c r="C9">
        <v>84</v>
      </c>
      <c r="D9" t="str">
        <f>_xlfn.XLOOKUP(Tabla36[[#This Row],[Product ID]],Tabla44[[#This Row],[product_id]],Tabla44[[#This Row],[product_name]])</f>
        <v>Soft Linen Trousers</v>
      </c>
      <c r="E9" t="str">
        <f>_xlfn.XLOOKUP(Tabla36[[#This Row],[Product ID]],Tabla44[[#This Row],[product_id]],Tabla44[[#This Row],[category]])</f>
        <v>Pants</v>
      </c>
      <c r="H9" s="19"/>
      <c r="I9" s="20"/>
      <c r="J9" s="21"/>
    </row>
    <row r="10" spans="1:10" x14ac:dyDescent="0.3">
      <c r="A10" t="s">
        <v>8</v>
      </c>
      <c r="B10">
        <v>9</v>
      </c>
      <c r="C10">
        <v>84</v>
      </c>
      <c r="D10" t="str">
        <f>_xlfn.XLOOKUP(Tabla36[[#This Row],[Product ID]],Tabla44[[#This Row],[product_id]],Tabla44[[#This Row],[product_name]])</f>
        <v>Soft Linen Shoes</v>
      </c>
      <c r="E10" t="str">
        <f>_xlfn.XLOOKUP(Tabla36[[#This Row],[Product ID]],Tabla44[[#This Row],[product_id]],Tabla44[[#This Row],[category]])</f>
        <v>Shoes</v>
      </c>
      <c r="H10" s="19"/>
      <c r="I10" s="20"/>
      <c r="J10" s="21"/>
    </row>
    <row r="11" spans="1:10" x14ac:dyDescent="0.3">
      <c r="A11" t="s">
        <v>8</v>
      </c>
      <c r="B11">
        <v>10</v>
      </c>
      <c r="C11">
        <v>97</v>
      </c>
      <c r="D11" t="str">
        <f>_xlfn.XLOOKUP(Tabla36[[#This Row],[Product ID]],Tabla44[[#This Row],[product_id]],Tabla44[[#This Row],[product_name]])</f>
        <v>Soft Ribbed Trousers</v>
      </c>
      <c r="E11" t="str">
        <f>_xlfn.XLOOKUP(Tabla36[[#This Row],[Product ID]],Tabla44[[#This Row],[product_id]],Tabla44[[#This Row],[category]])</f>
        <v>Pants</v>
      </c>
      <c r="H11" s="19"/>
      <c r="I11" s="20"/>
      <c r="J11" s="21"/>
    </row>
    <row r="12" spans="1:10" x14ac:dyDescent="0.3">
      <c r="A12" t="s">
        <v>8</v>
      </c>
      <c r="B12">
        <v>11</v>
      </c>
      <c r="C12">
        <v>3</v>
      </c>
      <c r="D12" t="str">
        <f>_xlfn.XLOOKUP(Tabla36[[#This Row],[Product ID]],Tabla44[[#This Row],[product_id]],Tabla44[[#This Row],[product_name]])</f>
        <v>Soft Ribbed Shoes</v>
      </c>
      <c r="E12" t="str">
        <f>_xlfn.XLOOKUP(Tabla36[[#This Row],[Product ID]],Tabla44[[#This Row],[product_id]],Tabla44[[#This Row],[category]])</f>
        <v>Shoes</v>
      </c>
      <c r="H12" s="19"/>
      <c r="I12" s="20"/>
      <c r="J12" s="21"/>
    </row>
    <row r="13" spans="1:10" x14ac:dyDescent="0.3">
      <c r="A13" t="s">
        <v>8</v>
      </c>
      <c r="B13">
        <v>12</v>
      </c>
      <c r="C13">
        <v>12</v>
      </c>
      <c r="D13" t="str">
        <f>_xlfn.XLOOKUP(Tabla36[[#This Row],[Product ID]],Tabla44[[#This Row],[product_id]],Tabla44[[#This Row],[product_name]])</f>
        <v>Soft Ribbed Dress</v>
      </c>
      <c r="E13" t="str">
        <f>_xlfn.XLOOKUP(Tabla36[[#This Row],[Product ID]],Tabla44[[#This Row],[product_id]],Tabla44[[#This Row],[category]])</f>
        <v>Dresses</v>
      </c>
      <c r="H13" s="19"/>
      <c r="I13" s="20"/>
      <c r="J13" s="21"/>
    </row>
    <row r="14" spans="1:10" x14ac:dyDescent="0.3">
      <c r="A14" t="s">
        <v>8</v>
      </c>
      <c r="B14">
        <v>13</v>
      </c>
      <c r="C14">
        <v>31</v>
      </c>
      <c r="D14" t="str">
        <f>_xlfn.XLOOKUP(Tabla36[[#This Row],[Product ID]],Tabla44[[#This Row],[product_id]],Tabla44[[#This Row],[product_name]])</f>
        <v>Soft Cotton Shoes</v>
      </c>
      <c r="E14" t="str">
        <f>_xlfn.XLOOKUP(Tabla36[[#This Row],[Product ID]],Tabla44[[#This Row],[product_id]],Tabla44[[#This Row],[category]])</f>
        <v>Shoes</v>
      </c>
      <c r="H14" s="19"/>
      <c r="I14" s="20"/>
      <c r="J14" s="21"/>
    </row>
    <row r="15" spans="1:10" x14ac:dyDescent="0.3">
      <c r="A15" t="s">
        <v>8</v>
      </c>
      <c r="B15">
        <v>14</v>
      </c>
      <c r="C15">
        <v>62</v>
      </c>
      <c r="D15" t="str">
        <f>_xlfn.XLOOKUP(Tabla36[[#This Row],[Product ID]],Tabla44[[#This Row],[product_id]],Tabla44[[#This Row],[product_name]])</f>
        <v>Soft Cotton Dress</v>
      </c>
      <c r="E15" t="str">
        <f>_xlfn.XLOOKUP(Tabla36[[#This Row],[Product ID]],Tabla44[[#This Row],[product_id]],Tabla44[[#This Row],[category]])</f>
        <v>Dresses</v>
      </c>
      <c r="H15" s="19"/>
      <c r="I15" s="20"/>
      <c r="J15" s="21"/>
    </row>
    <row r="16" spans="1:10" x14ac:dyDescent="0.3">
      <c r="A16" t="s">
        <v>8</v>
      </c>
      <c r="B16">
        <v>15</v>
      </c>
      <c r="C16">
        <v>11</v>
      </c>
      <c r="D16" t="str">
        <f>_xlfn.XLOOKUP(Tabla36[[#This Row],[Product ID]],Tabla44[[#This Row],[product_id]],Tabla44[[#This Row],[product_name]])</f>
        <v>Soft Cotton Tee</v>
      </c>
      <c r="E16" t="str">
        <f>_xlfn.XLOOKUP(Tabla36[[#This Row],[Product ID]],Tabla44[[#This Row],[product_id]],Tabla44[[#This Row],[category]])</f>
        <v>T-Shirts</v>
      </c>
      <c r="H16" s="19"/>
      <c r="I16" s="20"/>
      <c r="J16" s="21"/>
    </row>
    <row r="17" spans="1:10" x14ac:dyDescent="0.3">
      <c r="A17" t="s">
        <v>8</v>
      </c>
      <c r="B17">
        <v>16</v>
      </c>
      <c r="C17">
        <v>1</v>
      </c>
      <c r="D17" t="str">
        <f>_xlfn.XLOOKUP(Tabla36[[#This Row],[Product ID]],Tabla44[[#This Row],[product_id]],Tabla44[[#This Row],[product_name]])</f>
        <v>Soft Cotton Trousers</v>
      </c>
      <c r="E17" t="str">
        <f>_xlfn.XLOOKUP(Tabla36[[#This Row],[Product ID]],Tabla44[[#This Row],[product_id]],Tabla44[[#This Row],[category]])</f>
        <v>Pants</v>
      </c>
      <c r="H17" s="19"/>
      <c r="I17" s="20"/>
      <c r="J17" s="21"/>
    </row>
    <row r="18" spans="1:10" x14ac:dyDescent="0.3">
      <c r="A18" t="s">
        <v>8</v>
      </c>
      <c r="B18">
        <v>17</v>
      </c>
      <c r="C18">
        <v>39</v>
      </c>
      <c r="D18" t="str">
        <f>_xlfn.XLOOKUP(Tabla36[[#This Row],[Product ID]],Tabla44[[#This Row],[product_id]],Tabla44[[#This Row],[product_name]])</f>
        <v>Soft Satin Dress</v>
      </c>
      <c r="E18" t="str">
        <f>_xlfn.XLOOKUP(Tabla36[[#This Row],[Product ID]],Tabla44[[#This Row],[product_id]],Tabla44[[#This Row],[category]])</f>
        <v>Dresses</v>
      </c>
      <c r="H18" s="19"/>
      <c r="I18" s="20"/>
      <c r="J18" s="21"/>
    </row>
    <row r="19" spans="1:10" x14ac:dyDescent="0.3">
      <c r="A19" t="s">
        <v>8</v>
      </c>
      <c r="B19">
        <v>18</v>
      </c>
      <c r="C19">
        <v>47</v>
      </c>
      <c r="D19" t="str">
        <f>_xlfn.XLOOKUP(Tabla36[[#This Row],[Product ID]],Tabla44[[#This Row],[product_id]],Tabla44[[#This Row],[product_name]])</f>
        <v>Soft Satin Shoes</v>
      </c>
      <c r="E19" t="str">
        <f>_xlfn.XLOOKUP(Tabla36[[#This Row],[Product ID]],Tabla44[[#This Row],[product_id]],Tabla44[[#This Row],[category]])</f>
        <v>Shoes</v>
      </c>
      <c r="H19" s="19"/>
      <c r="I19" s="20"/>
      <c r="J19" s="21"/>
    </row>
    <row r="20" spans="1:10" x14ac:dyDescent="0.3">
      <c r="A20" t="s">
        <v>8</v>
      </c>
      <c r="B20">
        <v>19</v>
      </c>
      <c r="C20">
        <v>11</v>
      </c>
      <c r="D20" t="str">
        <f>_xlfn.XLOOKUP(Tabla36[[#This Row],[Product ID]],Tabla44[[#This Row],[product_id]],Tabla44[[#This Row],[product_name]])</f>
        <v>Soft Silk Dress</v>
      </c>
      <c r="E20" t="str">
        <f>_xlfn.XLOOKUP(Tabla36[[#This Row],[Product ID]],Tabla44[[#This Row],[product_id]],Tabla44[[#This Row],[category]])</f>
        <v>Dresses</v>
      </c>
      <c r="H20" s="19"/>
      <c r="I20" s="20"/>
      <c r="J20" s="21"/>
    </row>
    <row r="21" spans="1:10" x14ac:dyDescent="0.3">
      <c r="A21" t="s">
        <v>8</v>
      </c>
      <c r="B21">
        <v>20</v>
      </c>
      <c r="C21">
        <v>73</v>
      </c>
      <c r="D21" t="str">
        <f>_xlfn.XLOOKUP(Tabla36[[#This Row],[Product ID]],Tabla44[[#This Row],[product_id]],Tabla44[[#This Row],[product_name]])</f>
        <v>Soft Crew Dress</v>
      </c>
      <c r="E21" t="str">
        <f>_xlfn.XLOOKUP(Tabla36[[#This Row],[Product ID]],Tabla44[[#This Row],[product_id]],Tabla44[[#This Row],[category]])</f>
        <v>Dresses</v>
      </c>
      <c r="H21" s="22"/>
      <c r="I21" s="23"/>
      <c r="J21" s="24"/>
    </row>
    <row r="22" spans="1:10" x14ac:dyDescent="0.3">
      <c r="A22" t="s">
        <v>8</v>
      </c>
      <c r="B22">
        <v>21</v>
      </c>
      <c r="C22">
        <v>69</v>
      </c>
      <c r="D22" t="str">
        <f>_xlfn.XLOOKUP(Tabla36[[#This Row],[Product ID]],Tabla44[[#This Row],[product_id]],Tabla44[[#This Row],[product_name]])</f>
        <v>Soft Silk Shoes</v>
      </c>
      <c r="E22" t="str">
        <f>_xlfn.XLOOKUP(Tabla36[[#This Row],[Product ID]],Tabla44[[#This Row],[product_id]],Tabla44[[#This Row],[category]])</f>
        <v>Shoes</v>
      </c>
    </row>
    <row r="23" spans="1:10" x14ac:dyDescent="0.3">
      <c r="A23" t="s">
        <v>8</v>
      </c>
      <c r="B23">
        <v>22</v>
      </c>
      <c r="C23">
        <v>30</v>
      </c>
      <c r="D23" t="str">
        <f>_xlfn.XLOOKUP(Tabla36[[#This Row],[Product ID]],Tabla44[[#This Row],[product_id]],Tabla44[[#This Row],[product_name]])</f>
        <v>Soft Satin Tee</v>
      </c>
      <c r="E23" t="str">
        <f>_xlfn.XLOOKUP(Tabla36[[#This Row],[Product ID]],Tabla44[[#This Row],[product_id]],Tabla44[[#This Row],[category]])</f>
        <v>T-Shirts</v>
      </c>
    </row>
    <row r="24" spans="1:10" x14ac:dyDescent="0.3">
      <c r="A24" t="s">
        <v>8</v>
      </c>
      <c r="B24">
        <v>23</v>
      </c>
      <c r="C24">
        <v>42</v>
      </c>
      <c r="D24" t="str">
        <f>_xlfn.XLOOKUP(Tabla36[[#This Row],[Product ID]],Tabla44[[#This Row],[product_id]],Tabla44[[#This Row],[product_name]])</f>
        <v>Soft Sleeveless Dress</v>
      </c>
      <c r="E24" t="str">
        <f>_xlfn.XLOOKUP(Tabla36[[#This Row],[Product ID]],Tabla44[[#This Row],[product_id]],Tabla44[[#This Row],[category]])</f>
        <v>Dresses</v>
      </c>
    </row>
    <row r="25" spans="1:10" x14ac:dyDescent="0.3">
      <c r="A25" t="s">
        <v>8</v>
      </c>
      <c r="B25">
        <v>24</v>
      </c>
      <c r="C25">
        <v>85</v>
      </c>
      <c r="D25" t="str">
        <f>_xlfn.XLOOKUP(Tabla36[[#This Row],[Product ID]],Tabla44[[#This Row],[product_id]],Tabla44[[#This Row],[product_name]])</f>
        <v>Soft High-Waist Dress</v>
      </c>
      <c r="E25" t="str">
        <f>_xlfn.XLOOKUP(Tabla36[[#This Row],[Product ID]],Tabla44[[#This Row],[product_id]],Tabla44[[#This Row],[category]])</f>
        <v>Dresses</v>
      </c>
    </row>
    <row r="26" spans="1:10" x14ac:dyDescent="0.3">
      <c r="A26" t="s">
        <v>8</v>
      </c>
      <c r="B26">
        <v>25</v>
      </c>
      <c r="C26">
        <v>67</v>
      </c>
      <c r="D26" t="str">
        <f>_xlfn.XLOOKUP(Tabla36[[#This Row],[Product ID]],Tabla44[[#This Row],[product_id]],Tabla44[[#This Row],[product_name]])</f>
        <v>Soft Wrap Set</v>
      </c>
      <c r="E26" t="str">
        <f>_xlfn.XLOOKUP(Tabla36[[#This Row],[Product ID]],Tabla44[[#This Row],[product_id]],Tabla44[[#This Row],[category]])</f>
        <v>Sleepwear</v>
      </c>
    </row>
    <row r="27" spans="1:10" x14ac:dyDescent="0.3">
      <c r="A27" t="s">
        <v>8</v>
      </c>
      <c r="B27">
        <v>26</v>
      </c>
      <c r="C27">
        <v>31</v>
      </c>
      <c r="D27" t="str">
        <f>_xlfn.XLOOKUP(Tabla36[[#This Row],[Product ID]],Tabla44[[#This Row],[product_id]],Tabla44[[#This Row],[product_name]])</f>
        <v>Soft Crew Shoes</v>
      </c>
      <c r="E27" t="str">
        <f>_xlfn.XLOOKUP(Tabla36[[#This Row],[Product ID]],Tabla44[[#This Row],[product_id]],Tabla44[[#This Row],[category]])</f>
        <v>Shoes</v>
      </c>
    </row>
    <row r="28" spans="1:10" x14ac:dyDescent="0.3">
      <c r="A28" t="s">
        <v>8</v>
      </c>
      <c r="B28">
        <v>27</v>
      </c>
      <c r="C28">
        <v>1</v>
      </c>
      <c r="D28" t="str">
        <f>_xlfn.XLOOKUP(Tabla36[[#This Row],[Product ID]],Tabla44[[#This Row],[product_id]],Tabla44[[#This Row],[product_name]])</f>
        <v>Soft Boxy Dress</v>
      </c>
      <c r="E28" t="str">
        <f>_xlfn.XLOOKUP(Tabla36[[#This Row],[Product ID]],Tabla44[[#This Row],[product_id]],Tabla44[[#This Row],[category]])</f>
        <v>Dresses</v>
      </c>
    </row>
    <row r="29" spans="1:10" x14ac:dyDescent="0.3">
      <c r="A29" t="s">
        <v>8</v>
      </c>
      <c r="B29">
        <v>28</v>
      </c>
      <c r="C29">
        <v>58</v>
      </c>
      <c r="D29" t="str">
        <f>_xlfn.XLOOKUP(Tabla36[[#This Row],[Product ID]],Tabla44[[#This Row],[product_id]],Tabla44[[#This Row],[product_name]])</f>
        <v>Soft Sleeveless Shoes</v>
      </c>
      <c r="E29" t="str">
        <f>_xlfn.XLOOKUP(Tabla36[[#This Row],[Product ID]],Tabla44[[#This Row],[product_id]],Tabla44[[#This Row],[category]])</f>
        <v>Shoes</v>
      </c>
    </row>
    <row r="30" spans="1:10" x14ac:dyDescent="0.3">
      <c r="A30" t="s">
        <v>8</v>
      </c>
      <c r="B30">
        <v>29</v>
      </c>
      <c r="C30">
        <v>68</v>
      </c>
      <c r="D30" t="str">
        <f>_xlfn.XLOOKUP(Tabla36[[#This Row],[Product ID]],Tabla44[[#This Row],[product_id]],Tabla44[[#This Row],[product_name]])</f>
        <v>Soft Linen Set</v>
      </c>
      <c r="E30" t="str">
        <f>_xlfn.XLOOKUP(Tabla36[[#This Row],[Product ID]],Tabla44[[#This Row],[product_id]],Tabla44[[#This Row],[category]])</f>
        <v>Sleepwear</v>
      </c>
    </row>
    <row r="31" spans="1:10" x14ac:dyDescent="0.3">
      <c r="A31" t="s">
        <v>8</v>
      </c>
      <c r="B31">
        <v>30</v>
      </c>
      <c r="C31">
        <v>51</v>
      </c>
      <c r="D31" t="str">
        <f>_xlfn.XLOOKUP(Tabla36[[#This Row],[Product ID]],Tabla44[[#This Row],[product_id]],Tabla44[[#This Row],[product_name]])</f>
        <v>Soft Satin Trousers</v>
      </c>
      <c r="E31" t="str">
        <f>_xlfn.XLOOKUP(Tabla36[[#This Row],[Product ID]],Tabla44[[#This Row],[product_id]],Tabla44[[#This Row],[category]])</f>
        <v>Pants</v>
      </c>
    </row>
    <row r="32" spans="1:10" x14ac:dyDescent="0.3">
      <c r="A32" t="s">
        <v>8</v>
      </c>
      <c r="B32">
        <v>31</v>
      </c>
      <c r="C32">
        <v>69</v>
      </c>
      <c r="D32" t="str">
        <f>_xlfn.XLOOKUP(Tabla36[[#This Row],[Product ID]],Tabla44[[#This Row],[product_id]],Tabla44[[#This Row],[product_name]])</f>
        <v>Soft Silk Trousers</v>
      </c>
      <c r="E32" t="str">
        <f>_xlfn.XLOOKUP(Tabla36[[#This Row],[Product ID]],Tabla44[[#This Row],[product_id]],Tabla44[[#This Row],[category]])</f>
        <v>Pants</v>
      </c>
    </row>
    <row r="33" spans="1:5" x14ac:dyDescent="0.3">
      <c r="A33" t="s">
        <v>8</v>
      </c>
      <c r="B33">
        <v>32</v>
      </c>
      <c r="C33">
        <v>89</v>
      </c>
      <c r="D33" t="str">
        <f>_xlfn.XLOOKUP(Tabla36[[#This Row],[Product ID]],Tabla44[[#This Row],[product_id]],Tabla44[[#This Row],[product_name]])</f>
        <v>Soft Silk Tee</v>
      </c>
      <c r="E33" t="str">
        <f>_xlfn.XLOOKUP(Tabla36[[#This Row],[Product ID]],Tabla44[[#This Row],[product_id]],Tabla44[[#This Row],[category]])</f>
        <v>T-Shirts</v>
      </c>
    </row>
    <row r="34" spans="1:5" x14ac:dyDescent="0.3">
      <c r="A34" t="s">
        <v>8</v>
      </c>
      <c r="B34">
        <v>33</v>
      </c>
      <c r="C34">
        <v>24</v>
      </c>
      <c r="D34" t="str">
        <f>_xlfn.XLOOKUP(Tabla36[[#This Row],[Product ID]],Tabla44[[#This Row],[product_id]],Tabla44[[#This Row],[product_name]])</f>
        <v>Modern Wrap Dress</v>
      </c>
      <c r="E34" t="str">
        <f>_xlfn.XLOOKUP(Tabla36[[#This Row],[Product ID]],Tabla44[[#This Row],[product_id]],Tabla44[[#This Row],[category]])</f>
        <v>Dresses</v>
      </c>
    </row>
    <row r="35" spans="1:5" x14ac:dyDescent="0.3">
      <c r="A35" t="s">
        <v>8</v>
      </c>
      <c r="B35">
        <v>34</v>
      </c>
      <c r="C35">
        <v>71</v>
      </c>
      <c r="D35" t="str">
        <f>_xlfn.XLOOKUP(Tabla36[[#This Row],[Product ID]],Tabla44[[#This Row],[product_id]],Tabla44[[#This Row],[product_name]])</f>
        <v>Modern Linen Dress</v>
      </c>
      <c r="E35" t="str">
        <f>_xlfn.XLOOKUP(Tabla36[[#This Row],[Product ID]],Tabla44[[#This Row],[product_id]],Tabla44[[#This Row],[category]])</f>
        <v>Dresses</v>
      </c>
    </row>
    <row r="36" spans="1:5" x14ac:dyDescent="0.3">
      <c r="A36" t="s">
        <v>8</v>
      </c>
      <c r="B36">
        <v>35</v>
      </c>
      <c r="C36">
        <v>71</v>
      </c>
      <c r="D36" t="str">
        <f>_xlfn.XLOOKUP(Tabla36[[#This Row],[Product ID]],Tabla44[[#This Row],[product_id]],Tabla44[[#This Row],[product_name]])</f>
        <v>Modern Ribbed Dress</v>
      </c>
      <c r="E36" t="str">
        <f>_xlfn.XLOOKUP(Tabla36[[#This Row],[Product ID]],Tabla44[[#This Row],[product_id]],Tabla44[[#This Row],[category]])</f>
        <v>Dresses</v>
      </c>
    </row>
    <row r="37" spans="1:5" x14ac:dyDescent="0.3">
      <c r="A37" t="s">
        <v>8</v>
      </c>
      <c r="B37">
        <v>36</v>
      </c>
      <c r="C37">
        <v>56</v>
      </c>
      <c r="D37" t="str">
        <f>_xlfn.XLOOKUP(Tabla36[[#This Row],[Product ID]],Tabla44[[#This Row],[product_id]],Tabla44[[#This Row],[product_name]])</f>
        <v>Modern Cotton Dress</v>
      </c>
      <c r="E37" t="str">
        <f>_xlfn.XLOOKUP(Tabla36[[#This Row],[Product ID]],Tabla44[[#This Row],[product_id]],Tabla44[[#This Row],[category]])</f>
        <v>Dresses</v>
      </c>
    </row>
    <row r="38" spans="1:5" x14ac:dyDescent="0.3">
      <c r="A38" t="s">
        <v>8</v>
      </c>
      <c r="B38">
        <v>37</v>
      </c>
      <c r="C38">
        <v>71</v>
      </c>
      <c r="D38" t="str">
        <f>_xlfn.XLOOKUP(Tabla36[[#This Row],[Product ID]],Tabla44[[#This Row],[product_id]],Tabla44[[#This Row],[product_name]])</f>
        <v>Soft Crew Trousers</v>
      </c>
      <c r="E38" t="str">
        <f>_xlfn.XLOOKUP(Tabla36[[#This Row],[Product ID]],Tabla44[[#This Row],[product_id]],Tabla44[[#This Row],[category]])</f>
        <v>Pants</v>
      </c>
    </row>
    <row r="39" spans="1:5" x14ac:dyDescent="0.3">
      <c r="A39" t="s">
        <v>8</v>
      </c>
      <c r="B39">
        <v>38</v>
      </c>
      <c r="C39">
        <v>60</v>
      </c>
      <c r="D39" t="str">
        <f>_xlfn.XLOOKUP(Tabla36[[#This Row],[Product ID]],Tabla44[[#This Row],[product_id]],Tabla44[[#This Row],[product_name]])</f>
        <v>Soft Crew Tee</v>
      </c>
      <c r="E39" t="str">
        <f>_xlfn.XLOOKUP(Tabla36[[#This Row],[Product ID]],Tabla44[[#This Row],[product_id]],Tabla44[[#This Row],[category]])</f>
        <v>T-Shirts</v>
      </c>
    </row>
    <row r="40" spans="1:5" x14ac:dyDescent="0.3">
      <c r="A40" t="s">
        <v>8</v>
      </c>
      <c r="B40">
        <v>39</v>
      </c>
      <c r="C40">
        <v>64</v>
      </c>
      <c r="D40" t="str">
        <f>_xlfn.XLOOKUP(Tabla36[[#This Row],[Product ID]],Tabla44[[#This Row],[product_id]],Tabla44[[#This Row],[product_name]])</f>
        <v>Soft Sleeveless Trousers</v>
      </c>
      <c r="E40" t="str">
        <f>_xlfn.XLOOKUP(Tabla36[[#This Row],[Product ID]],Tabla44[[#This Row],[product_id]],Tabla44[[#This Row],[category]])</f>
        <v>Pants</v>
      </c>
    </row>
    <row r="41" spans="1:5" x14ac:dyDescent="0.3">
      <c r="A41" t="s">
        <v>8</v>
      </c>
      <c r="B41">
        <v>40</v>
      </c>
      <c r="C41">
        <v>73</v>
      </c>
      <c r="D41" t="str">
        <f>_xlfn.XLOOKUP(Tabla36[[#This Row],[Product ID]],Tabla44[[#This Row],[product_id]],Tabla44[[#This Row],[product_name]])</f>
        <v>Soft High-Waist Trousers</v>
      </c>
      <c r="E41" t="str">
        <f>_xlfn.XLOOKUP(Tabla36[[#This Row],[Product ID]],Tabla44[[#This Row],[product_id]],Tabla44[[#This Row],[category]])</f>
        <v>Pants</v>
      </c>
    </row>
    <row r="42" spans="1:5" x14ac:dyDescent="0.3">
      <c r="A42" t="s">
        <v>8</v>
      </c>
      <c r="B42">
        <v>41</v>
      </c>
      <c r="C42">
        <v>12</v>
      </c>
      <c r="D42" t="str">
        <f>_xlfn.XLOOKUP(Tabla36[[#This Row],[Product ID]],Tabla44[[#This Row],[product_id]],Tabla44[[#This Row],[product_name]])</f>
        <v>Soft Boxy Trousers</v>
      </c>
      <c r="E42" t="str">
        <f>_xlfn.XLOOKUP(Tabla36[[#This Row],[Product ID]],Tabla44[[#This Row],[product_id]],Tabla44[[#This Row],[category]])</f>
        <v>Pants</v>
      </c>
    </row>
    <row r="43" spans="1:5" x14ac:dyDescent="0.3">
      <c r="A43" t="s">
        <v>8</v>
      </c>
      <c r="B43">
        <v>42</v>
      </c>
      <c r="C43">
        <v>60</v>
      </c>
      <c r="D43" t="str">
        <f>_xlfn.XLOOKUP(Tabla36[[#This Row],[Product ID]],Tabla44[[#This Row],[product_id]],Tabla44[[#This Row],[product_name]])</f>
        <v>Soft Ribbed Set</v>
      </c>
      <c r="E43" t="str">
        <f>_xlfn.XLOOKUP(Tabla36[[#This Row],[Product ID]],Tabla44[[#This Row],[product_id]],Tabla44[[#This Row],[category]])</f>
        <v>Sleepwear</v>
      </c>
    </row>
    <row r="44" spans="1:5" x14ac:dyDescent="0.3">
      <c r="A44" t="s">
        <v>8</v>
      </c>
      <c r="B44">
        <v>43</v>
      </c>
      <c r="C44">
        <v>16</v>
      </c>
      <c r="D44" t="str">
        <f>_xlfn.XLOOKUP(Tabla36[[#This Row],[Product ID]],Tabla44[[#This Row],[product_id]],Tabla44[[#This Row],[product_name]])</f>
        <v>Modern Satin Dress</v>
      </c>
      <c r="E44" t="str">
        <f>_xlfn.XLOOKUP(Tabla36[[#This Row],[Product ID]],Tabla44[[#This Row],[product_id]],Tabla44[[#This Row],[category]])</f>
        <v>Dresses</v>
      </c>
    </row>
    <row r="45" spans="1:5" x14ac:dyDescent="0.3">
      <c r="A45" t="s">
        <v>8</v>
      </c>
      <c r="B45">
        <v>44</v>
      </c>
      <c r="C45">
        <v>30</v>
      </c>
      <c r="D45" t="str">
        <f>_xlfn.XLOOKUP(Tabla36[[#This Row],[Product ID]],Tabla44[[#This Row],[product_id]],Tabla44[[#This Row],[product_name]])</f>
        <v>Modern Wrap Trousers</v>
      </c>
      <c r="E45" t="str">
        <f>_xlfn.XLOOKUP(Tabla36[[#This Row],[Product ID]],Tabla44[[#This Row],[product_id]],Tabla44[[#This Row],[category]])</f>
        <v>Pants</v>
      </c>
    </row>
    <row r="46" spans="1:5" x14ac:dyDescent="0.3">
      <c r="A46" t="s">
        <v>8</v>
      </c>
      <c r="B46">
        <v>45</v>
      </c>
      <c r="C46">
        <v>82</v>
      </c>
      <c r="D46" t="str">
        <f>_xlfn.XLOOKUP(Tabla36[[#This Row],[Product ID]],Tabla44[[#This Row],[product_id]],Tabla44[[#This Row],[product_name]])</f>
        <v>Soft Sleeveless Tee</v>
      </c>
      <c r="E46" t="str">
        <f>_xlfn.XLOOKUP(Tabla36[[#This Row],[Product ID]],Tabla44[[#This Row],[product_id]],Tabla44[[#This Row],[category]])</f>
        <v>T-Shirts</v>
      </c>
    </row>
    <row r="47" spans="1:5" x14ac:dyDescent="0.3">
      <c r="A47" t="s">
        <v>8</v>
      </c>
      <c r="B47">
        <v>46</v>
      </c>
      <c r="C47">
        <v>48</v>
      </c>
      <c r="D47" t="str">
        <f>_xlfn.XLOOKUP(Tabla36[[#This Row],[Product ID]],Tabla44[[#This Row],[product_id]],Tabla44[[#This Row],[product_name]])</f>
        <v>Soft Cotton Set</v>
      </c>
      <c r="E47" t="str">
        <f>_xlfn.XLOOKUP(Tabla36[[#This Row],[Product ID]],Tabla44[[#This Row],[product_id]],Tabla44[[#This Row],[category]])</f>
        <v>Sleepwear</v>
      </c>
    </row>
    <row r="48" spans="1:5" x14ac:dyDescent="0.3">
      <c r="A48" t="s">
        <v>8</v>
      </c>
      <c r="B48">
        <v>47</v>
      </c>
      <c r="C48">
        <v>27</v>
      </c>
      <c r="D48" t="str">
        <f>_xlfn.XLOOKUP(Tabla36[[#This Row],[Product ID]],Tabla44[[#This Row],[product_id]],Tabla44[[#This Row],[product_name]])</f>
        <v>Soft High-Waist Tee</v>
      </c>
      <c r="E48" t="str">
        <f>_xlfn.XLOOKUP(Tabla36[[#This Row],[Product ID]],Tabla44[[#This Row],[product_id]],Tabla44[[#This Row],[category]])</f>
        <v>T-Shirts</v>
      </c>
    </row>
    <row r="49" spans="1:5" x14ac:dyDescent="0.3">
      <c r="A49" t="s">
        <v>8</v>
      </c>
      <c r="B49">
        <v>48</v>
      </c>
      <c r="C49">
        <v>13</v>
      </c>
      <c r="D49" t="str">
        <f>_xlfn.XLOOKUP(Tabla36[[#This Row],[Product ID]],Tabla44[[#This Row],[product_id]],Tabla44[[#This Row],[product_name]])</f>
        <v>Soft High-Waist Shoes</v>
      </c>
      <c r="E49" t="str">
        <f>_xlfn.XLOOKUP(Tabla36[[#This Row],[Product ID]],Tabla44[[#This Row],[product_id]],Tabla44[[#This Row],[category]])</f>
        <v>Shoes</v>
      </c>
    </row>
    <row r="50" spans="1:5" x14ac:dyDescent="0.3">
      <c r="A50" t="s">
        <v>8</v>
      </c>
      <c r="B50">
        <v>49</v>
      </c>
      <c r="C50">
        <v>1</v>
      </c>
      <c r="D50" t="str">
        <f>_xlfn.XLOOKUP(Tabla36[[#This Row],[Product ID]],Tabla44[[#This Row],[product_id]],Tabla44[[#This Row],[product_name]])</f>
        <v>Soft Boxy Tee</v>
      </c>
      <c r="E50" t="str">
        <f>_xlfn.XLOOKUP(Tabla36[[#This Row],[Product ID]],Tabla44[[#This Row],[product_id]],Tabla44[[#This Row],[category]])</f>
        <v>T-Shirts</v>
      </c>
    </row>
    <row r="51" spans="1:5" x14ac:dyDescent="0.3">
      <c r="A51" t="s">
        <v>8</v>
      </c>
      <c r="B51">
        <v>50</v>
      </c>
      <c r="C51">
        <v>69</v>
      </c>
      <c r="D51" t="str">
        <f>_xlfn.XLOOKUP(Tabla36[[#This Row],[Product ID]],Tabla44[[#This Row],[product_id]],Tabla44[[#This Row],[product_name]])</f>
        <v>Modern Wrap Tee</v>
      </c>
      <c r="E51" t="str">
        <f>_xlfn.XLOOKUP(Tabla36[[#This Row],[Product ID]],Tabla44[[#This Row],[product_id]],Tabla44[[#This Row],[category]])</f>
        <v>T-Shirts</v>
      </c>
    </row>
    <row r="52" spans="1:5" x14ac:dyDescent="0.3">
      <c r="A52" t="s">
        <v>8</v>
      </c>
      <c r="B52">
        <v>51</v>
      </c>
      <c r="C52">
        <v>23</v>
      </c>
      <c r="D52" t="str">
        <f>_xlfn.XLOOKUP(Tabla36[[#This Row],[Product ID]],Tabla44[[#This Row],[product_id]],Tabla44[[#This Row],[product_name]])</f>
        <v>Soft Satin Set</v>
      </c>
      <c r="E52" t="str">
        <f>_xlfn.XLOOKUP(Tabla36[[#This Row],[Product ID]],Tabla44[[#This Row],[product_id]],Tabla44[[#This Row],[category]])</f>
        <v>Sleepwear</v>
      </c>
    </row>
    <row r="53" spans="1:5" x14ac:dyDescent="0.3">
      <c r="A53" t="s">
        <v>8</v>
      </c>
      <c r="B53">
        <v>52</v>
      </c>
      <c r="C53">
        <v>18</v>
      </c>
      <c r="D53" t="str">
        <f>_xlfn.XLOOKUP(Tabla36[[#This Row],[Product ID]],Tabla44[[#This Row],[product_id]],Tabla44[[#This Row],[product_name]])</f>
        <v>Modern Linen Tee</v>
      </c>
      <c r="E53" t="str">
        <f>_xlfn.XLOOKUP(Tabla36[[#This Row],[Product ID]],Tabla44[[#This Row],[product_id]],Tabla44[[#This Row],[category]])</f>
        <v>T-Shirts</v>
      </c>
    </row>
    <row r="54" spans="1:5" x14ac:dyDescent="0.3">
      <c r="A54" t="s">
        <v>8</v>
      </c>
      <c r="B54">
        <v>53</v>
      </c>
      <c r="C54">
        <v>99</v>
      </c>
      <c r="D54" t="str">
        <f>_xlfn.XLOOKUP(Tabla36[[#This Row],[Product ID]],Tabla44[[#This Row],[product_id]],Tabla44[[#This Row],[product_name]])</f>
        <v>Soft Boxy Shoes</v>
      </c>
      <c r="E54" t="str">
        <f>_xlfn.XLOOKUP(Tabla36[[#This Row],[Product ID]],Tabla44[[#This Row],[product_id]],Tabla44[[#This Row],[category]])</f>
        <v>Shoes</v>
      </c>
    </row>
    <row r="55" spans="1:5" x14ac:dyDescent="0.3">
      <c r="A55" t="s">
        <v>8</v>
      </c>
      <c r="B55">
        <v>54</v>
      </c>
      <c r="C55">
        <v>62</v>
      </c>
      <c r="D55" t="str">
        <f>_xlfn.XLOOKUP(Tabla36[[#This Row],[Product ID]],Tabla44[[#This Row],[product_id]],Tabla44[[#This Row],[product_name]])</f>
        <v>Modern Silk Dress</v>
      </c>
      <c r="E55" t="str">
        <f>_xlfn.XLOOKUP(Tabla36[[#This Row],[Product ID]],Tabla44[[#This Row],[product_id]],Tabla44[[#This Row],[category]])</f>
        <v>Dresses</v>
      </c>
    </row>
    <row r="56" spans="1:5" x14ac:dyDescent="0.3">
      <c r="A56" t="s">
        <v>8</v>
      </c>
      <c r="B56">
        <v>55</v>
      </c>
      <c r="C56">
        <v>11</v>
      </c>
      <c r="D56" t="str">
        <f>_xlfn.XLOOKUP(Tabla36[[#This Row],[Product ID]],Tabla44[[#This Row],[product_id]],Tabla44[[#This Row],[product_name]])</f>
        <v>Modern Ribbed Tee</v>
      </c>
      <c r="E56" t="str">
        <f>_xlfn.XLOOKUP(Tabla36[[#This Row],[Product ID]],Tabla44[[#This Row],[product_id]],Tabla44[[#This Row],[category]])</f>
        <v>T-Shirts</v>
      </c>
    </row>
    <row r="57" spans="1:5" x14ac:dyDescent="0.3">
      <c r="A57" t="s">
        <v>8</v>
      </c>
      <c r="B57">
        <v>56</v>
      </c>
      <c r="C57">
        <v>93</v>
      </c>
      <c r="D57" t="str">
        <f>_xlfn.XLOOKUP(Tabla36[[#This Row],[Product ID]],Tabla44[[#This Row],[product_id]],Tabla44[[#This Row],[product_name]])</f>
        <v>Modern Wrap Shoes</v>
      </c>
      <c r="E57" t="str">
        <f>_xlfn.XLOOKUP(Tabla36[[#This Row],[Product ID]],Tabla44[[#This Row],[product_id]],Tabla44[[#This Row],[category]])</f>
        <v>Shoes</v>
      </c>
    </row>
    <row r="58" spans="1:5" x14ac:dyDescent="0.3">
      <c r="A58" t="s">
        <v>8</v>
      </c>
      <c r="B58">
        <v>57</v>
      </c>
      <c r="C58">
        <v>69</v>
      </c>
      <c r="D58" t="str">
        <f>_xlfn.XLOOKUP(Tabla36[[#This Row],[Product ID]],Tabla44[[#This Row],[product_id]],Tabla44[[#This Row],[product_name]])</f>
        <v>Modern Crew Dress</v>
      </c>
      <c r="E58" t="str">
        <f>_xlfn.XLOOKUP(Tabla36[[#This Row],[Product ID]],Tabla44[[#This Row],[product_id]],Tabla44[[#This Row],[category]])</f>
        <v>Dresses</v>
      </c>
    </row>
    <row r="59" spans="1:5" x14ac:dyDescent="0.3">
      <c r="A59" t="s">
        <v>8</v>
      </c>
      <c r="B59">
        <v>58</v>
      </c>
      <c r="C59">
        <v>80</v>
      </c>
      <c r="D59" t="str">
        <f>_xlfn.XLOOKUP(Tabla36[[#This Row],[Product ID]],Tabla44[[#This Row],[product_id]],Tabla44[[#This Row],[product_name]])</f>
        <v>Modern Sleeveless Dress</v>
      </c>
      <c r="E59" t="str">
        <f>_xlfn.XLOOKUP(Tabla36[[#This Row],[Product ID]],Tabla44[[#This Row],[product_id]],Tabla44[[#This Row],[category]])</f>
        <v>Dresses</v>
      </c>
    </row>
    <row r="60" spans="1:5" x14ac:dyDescent="0.3">
      <c r="A60" t="s">
        <v>8</v>
      </c>
      <c r="B60">
        <v>59</v>
      </c>
      <c r="C60">
        <v>53</v>
      </c>
      <c r="D60" t="str">
        <f>_xlfn.XLOOKUP(Tabla36[[#This Row],[Product ID]],Tabla44[[#This Row],[product_id]],Tabla44[[#This Row],[product_name]])</f>
        <v>Soft Silk Set</v>
      </c>
      <c r="E60" t="str">
        <f>_xlfn.XLOOKUP(Tabla36[[#This Row],[Product ID]],Tabla44[[#This Row],[product_id]],Tabla44[[#This Row],[category]])</f>
        <v>Sleepwear</v>
      </c>
    </row>
    <row r="61" spans="1:5" x14ac:dyDescent="0.3">
      <c r="A61" t="s">
        <v>8</v>
      </c>
      <c r="B61">
        <v>60</v>
      </c>
      <c r="C61">
        <v>5</v>
      </c>
      <c r="D61" t="str">
        <f>_xlfn.XLOOKUP(Tabla36[[#This Row],[Product ID]],Tabla44[[#This Row],[product_id]],Tabla44[[#This Row],[product_name]])</f>
        <v>Modern Cotton Tee</v>
      </c>
      <c r="E61" t="str">
        <f>_xlfn.XLOOKUP(Tabla36[[#This Row],[Product ID]],Tabla44[[#This Row],[product_id]],Tabla44[[#This Row],[category]])</f>
        <v>T-Shirts</v>
      </c>
    </row>
    <row r="62" spans="1:5" x14ac:dyDescent="0.3">
      <c r="A62" t="s">
        <v>8</v>
      </c>
      <c r="B62">
        <v>61</v>
      </c>
      <c r="C62">
        <v>56</v>
      </c>
      <c r="D62" t="str">
        <f>_xlfn.XLOOKUP(Tabla36[[#This Row],[Product ID]],Tabla44[[#This Row],[product_id]],Tabla44[[#This Row],[product_name]])</f>
        <v>Modern Satin Tee</v>
      </c>
      <c r="E62" t="str">
        <f>_xlfn.XLOOKUP(Tabla36[[#This Row],[Product ID]],Tabla44[[#This Row],[product_id]],Tabla44[[#This Row],[category]])</f>
        <v>T-Shirts</v>
      </c>
    </row>
    <row r="63" spans="1:5" x14ac:dyDescent="0.3">
      <c r="A63" t="s">
        <v>8</v>
      </c>
      <c r="B63">
        <v>62</v>
      </c>
      <c r="C63">
        <v>44</v>
      </c>
      <c r="D63" t="str">
        <f>_xlfn.XLOOKUP(Tabla36[[#This Row],[Product ID]],Tabla44[[#This Row],[product_id]],Tabla44[[#This Row],[product_name]])</f>
        <v>Modern Linen Trousers</v>
      </c>
      <c r="E63" t="str">
        <f>_xlfn.XLOOKUP(Tabla36[[#This Row],[Product ID]],Tabla44[[#This Row],[product_id]],Tabla44[[#This Row],[category]])</f>
        <v>Pants</v>
      </c>
    </row>
    <row r="64" spans="1:5" x14ac:dyDescent="0.3">
      <c r="A64" t="s">
        <v>8</v>
      </c>
      <c r="B64">
        <v>63</v>
      </c>
      <c r="C64">
        <v>87</v>
      </c>
      <c r="D64" t="str">
        <f>_xlfn.XLOOKUP(Tabla36[[#This Row],[Product ID]],Tabla44[[#This Row],[product_id]],Tabla44[[#This Row],[product_name]])</f>
        <v>Soft Crew Set</v>
      </c>
      <c r="E64" t="str">
        <f>_xlfn.XLOOKUP(Tabla36[[#This Row],[Product ID]],Tabla44[[#This Row],[product_id]],Tabla44[[#This Row],[category]])</f>
        <v>Sleepwear</v>
      </c>
    </row>
    <row r="65" spans="1:5" x14ac:dyDescent="0.3">
      <c r="A65" t="s">
        <v>8</v>
      </c>
      <c r="B65">
        <v>64</v>
      </c>
      <c r="C65">
        <v>90</v>
      </c>
      <c r="D65" t="str">
        <f>_xlfn.XLOOKUP(Tabla36[[#This Row],[Product ID]],Tabla44[[#This Row],[product_id]],Tabla44[[#This Row],[product_name]])</f>
        <v>Soft Sleeveless Set</v>
      </c>
      <c r="E65" t="str">
        <f>_xlfn.XLOOKUP(Tabla36[[#This Row],[Product ID]],Tabla44[[#This Row],[product_id]],Tabla44[[#This Row],[category]])</f>
        <v>Sleepwear</v>
      </c>
    </row>
    <row r="66" spans="1:5" x14ac:dyDescent="0.3">
      <c r="A66" t="s">
        <v>8</v>
      </c>
      <c r="B66">
        <v>65</v>
      </c>
      <c r="C66">
        <v>45</v>
      </c>
      <c r="D66" t="str">
        <f>_xlfn.XLOOKUP(Tabla36[[#This Row],[Product ID]],Tabla44[[#This Row],[product_id]],Tabla44[[#This Row],[product_name]])</f>
        <v>Modern Silk Tee</v>
      </c>
      <c r="E66" t="str">
        <f>_xlfn.XLOOKUP(Tabla36[[#This Row],[Product ID]],Tabla44[[#This Row],[product_id]],Tabla44[[#This Row],[category]])</f>
        <v>T-Shirts</v>
      </c>
    </row>
    <row r="67" spans="1:5" x14ac:dyDescent="0.3">
      <c r="A67" t="s">
        <v>8</v>
      </c>
      <c r="B67">
        <v>66</v>
      </c>
      <c r="C67">
        <v>59</v>
      </c>
      <c r="D67" t="str">
        <f>_xlfn.XLOOKUP(Tabla36[[#This Row],[Product ID]],Tabla44[[#This Row],[product_id]],Tabla44[[#This Row],[product_name]])</f>
        <v>Modern High-Waist Dress</v>
      </c>
      <c r="E67" t="str">
        <f>_xlfn.XLOOKUP(Tabla36[[#This Row],[Product ID]],Tabla44[[#This Row],[product_id]],Tabla44[[#This Row],[category]])</f>
        <v>Dresses</v>
      </c>
    </row>
    <row r="68" spans="1:5" x14ac:dyDescent="0.3">
      <c r="A68" t="s">
        <v>8</v>
      </c>
      <c r="B68">
        <v>67</v>
      </c>
      <c r="C68">
        <v>13</v>
      </c>
      <c r="D68" t="str">
        <f>_xlfn.XLOOKUP(Tabla36[[#This Row],[Product ID]],Tabla44[[#This Row],[product_id]],Tabla44[[#This Row],[product_name]])</f>
        <v>Modern Crew Tee</v>
      </c>
      <c r="E68" t="str">
        <f>_xlfn.XLOOKUP(Tabla36[[#This Row],[Product ID]],Tabla44[[#This Row],[product_id]],Tabla44[[#This Row],[category]])</f>
        <v>T-Shirts</v>
      </c>
    </row>
    <row r="69" spans="1:5" x14ac:dyDescent="0.3">
      <c r="A69" t="s">
        <v>8</v>
      </c>
      <c r="B69">
        <v>68</v>
      </c>
      <c r="C69">
        <v>11</v>
      </c>
      <c r="D69" t="str">
        <f>_xlfn.XLOOKUP(Tabla36[[#This Row],[Product ID]],Tabla44[[#This Row],[product_id]],Tabla44[[#This Row],[product_name]])</f>
        <v>Soft High-Waist Set</v>
      </c>
      <c r="E69" t="str">
        <f>_xlfn.XLOOKUP(Tabla36[[#This Row],[Product ID]],Tabla44[[#This Row],[product_id]],Tabla44[[#This Row],[category]])</f>
        <v>Sleepwear</v>
      </c>
    </row>
    <row r="70" spans="1:5" x14ac:dyDescent="0.3">
      <c r="A70" t="s">
        <v>8</v>
      </c>
      <c r="B70">
        <v>69</v>
      </c>
      <c r="C70">
        <v>15</v>
      </c>
      <c r="D70" t="str">
        <f>_xlfn.XLOOKUP(Tabla36[[#This Row],[Product ID]],Tabla44[[#This Row],[product_id]],Tabla44[[#This Row],[product_name]])</f>
        <v>Modern Linen Shoes</v>
      </c>
      <c r="E70" t="str">
        <f>_xlfn.XLOOKUP(Tabla36[[#This Row],[Product ID]],Tabla44[[#This Row],[product_id]],Tabla44[[#This Row],[category]])</f>
        <v>Shoes</v>
      </c>
    </row>
    <row r="71" spans="1:5" x14ac:dyDescent="0.3">
      <c r="A71" t="s">
        <v>8</v>
      </c>
      <c r="B71">
        <v>70</v>
      </c>
      <c r="C71">
        <v>63</v>
      </c>
      <c r="D71" t="str">
        <f>_xlfn.XLOOKUP(Tabla36[[#This Row],[Product ID]],Tabla44[[#This Row],[product_id]],Tabla44[[#This Row],[product_name]])</f>
        <v>Modern Boxy Dress</v>
      </c>
      <c r="E71" t="str">
        <f>_xlfn.XLOOKUP(Tabla36[[#This Row],[Product ID]],Tabla44[[#This Row],[product_id]],Tabla44[[#This Row],[category]])</f>
        <v>Dresses</v>
      </c>
    </row>
    <row r="72" spans="1:5" x14ac:dyDescent="0.3">
      <c r="A72" t="s">
        <v>8</v>
      </c>
      <c r="B72">
        <v>71</v>
      </c>
      <c r="C72">
        <v>3</v>
      </c>
      <c r="D72" t="str">
        <f>_xlfn.XLOOKUP(Tabla36[[#This Row],[Product ID]],Tabla44[[#This Row],[product_id]],Tabla44[[#This Row],[product_name]])</f>
        <v>Modern Ribbed Trousers</v>
      </c>
      <c r="E72" t="str">
        <f>_xlfn.XLOOKUP(Tabla36[[#This Row],[Product ID]],Tabla44[[#This Row],[product_id]],Tabla44[[#This Row],[category]])</f>
        <v>Pants</v>
      </c>
    </row>
    <row r="73" spans="1:5" x14ac:dyDescent="0.3">
      <c r="A73" t="s">
        <v>8</v>
      </c>
      <c r="B73">
        <v>72</v>
      </c>
      <c r="C73">
        <v>63</v>
      </c>
      <c r="D73" t="str">
        <f>_xlfn.XLOOKUP(Tabla36[[#This Row],[Product ID]],Tabla44[[#This Row],[product_id]],Tabla44[[#This Row],[product_name]])</f>
        <v>Classic Wrap Dress</v>
      </c>
      <c r="E73" t="str">
        <f>_xlfn.XLOOKUP(Tabla36[[#This Row],[Product ID]],Tabla44[[#This Row],[product_id]],Tabla44[[#This Row],[category]])</f>
        <v>Dresses</v>
      </c>
    </row>
    <row r="74" spans="1:5" x14ac:dyDescent="0.3">
      <c r="A74" t="s">
        <v>8</v>
      </c>
      <c r="B74">
        <v>73</v>
      </c>
      <c r="C74">
        <v>72</v>
      </c>
      <c r="D74" t="str">
        <f>_xlfn.XLOOKUP(Tabla36[[#This Row],[Product ID]],Tabla44[[#This Row],[product_id]],Tabla44[[#This Row],[product_name]])</f>
        <v>Soft Boxy Set</v>
      </c>
      <c r="E74" t="str">
        <f>_xlfn.XLOOKUP(Tabla36[[#This Row],[Product ID]],Tabla44[[#This Row],[product_id]],Tabla44[[#This Row],[category]])</f>
        <v>Sleepwear</v>
      </c>
    </row>
    <row r="75" spans="1:5" x14ac:dyDescent="0.3">
      <c r="A75" t="s">
        <v>8</v>
      </c>
      <c r="B75">
        <v>74</v>
      </c>
      <c r="C75">
        <v>27</v>
      </c>
      <c r="D75" t="str">
        <f>_xlfn.XLOOKUP(Tabla36[[#This Row],[Product ID]],Tabla44[[#This Row],[product_id]],Tabla44[[#This Row],[product_name]])</f>
        <v>Modern Wrap Set</v>
      </c>
      <c r="E75" t="str">
        <f>_xlfn.XLOOKUP(Tabla36[[#This Row],[Product ID]],Tabla44[[#This Row],[product_id]],Tabla44[[#This Row],[category]])</f>
        <v>Sleepwear</v>
      </c>
    </row>
    <row r="76" spans="1:5" x14ac:dyDescent="0.3">
      <c r="A76" t="s">
        <v>8</v>
      </c>
      <c r="B76">
        <v>75</v>
      </c>
      <c r="C76">
        <v>99</v>
      </c>
      <c r="D76" t="str">
        <f>_xlfn.XLOOKUP(Tabla36[[#This Row],[Product ID]],Tabla44[[#This Row],[product_id]],Tabla44[[#This Row],[product_name]])</f>
        <v>Modern Linen Set</v>
      </c>
      <c r="E76" t="str">
        <f>_xlfn.XLOOKUP(Tabla36[[#This Row],[Product ID]],Tabla44[[#This Row],[product_id]],Tabla44[[#This Row],[category]])</f>
        <v>Sleepwear</v>
      </c>
    </row>
    <row r="77" spans="1:5" x14ac:dyDescent="0.3">
      <c r="A77" t="s">
        <v>8</v>
      </c>
      <c r="B77">
        <v>76</v>
      </c>
      <c r="C77">
        <v>53</v>
      </c>
      <c r="D77" t="str">
        <f>_xlfn.XLOOKUP(Tabla36[[#This Row],[Product ID]],Tabla44[[#This Row],[product_id]],Tabla44[[#This Row],[product_name]])</f>
        <v>Modern Cotton Trousers</v>
      </c>
      <c r="E77" t="str">
        <f>_xlfn.XLOOKUP(Tabla36[[#This Row],[Product ID]],Tabla44[[#This Row],[product_id]],Tabla44[[#This Row],[category]])</f>
        <v>Pants</v>
      </c>
    </row>
    <row r="78" spans="1:5" x14ac:dyDescent="0.3">
      <c r="A78" t="s">
        <v>8</v>
      </c>
      <c r="B78">
        <v>77</v>
      </c>
      <c r="C78">
        <v>43</v>
      </c>
      <c r="D78" t="str">
        <f>_xlfn.XLOOKUP(Tabla36[[#This Row],[Product ID]],Tabla44[[#This Row],[product_id]],Tabla44[[#This Row],[product_name]])</f>
        <v>Classic Linen Dress</v>
      </c>
      <c r="E78" t="str">
        <f>_xlfn.XLOOKUP(Tabla36[[#This Row],[Product ID]],Tabla44[[#This Row],[product_id]],Tabla44[[#This Row],[category]])</f>
        <v>Dresses</v>
      </c>
    </row>
    <row r="79" spans="1:5" x14ac:dyDescent="0.3">
      <c r="A79" t="s">
        <v>8</v>
      </c>
      <c r="B79">
        <v>78</v>
      </c>
      <c r="C79">
        <v>83</v>
      </c>
      <c r="D79" t="str">
        <f>_xlfn.XLOOKUP(Tabla36[[#This Row],[Product ID]],Tabla44[[#This Row],[product_id]],Tabla44[[#This Row],[product_name]])</f>
        <v>Modern Ribbed Shoes</v>
      </c>
      <c r="E79" t="str">
        <f>_xlfn.XLOOKUP(Tabla36[[#This Row],[Product ID]],Tabla44[[#This Row],[product_id]],Tabla44[[#This Row],[category]])</f>
        <v>Shoes</v>
      </c>
    </row>
    <row r="80" spans="1:5" x14ac:dyDescent="0.3">
      <c r="A80" t="s">
        <v>8</v>
      </c>
      <c r="B80">
        <v>79</v>
      </c>
      <c r="C80">
        <v>71</v>
      </c>
      <c r="D80" t="str">
        <f>_xlfn.XLOOKUP(Tabla36[[#This Row],[Product ID]],Tabla44[[#This Row],[product_id]],Tabla44[[#This Row],[product_name]])</f>
        <v>Modern Satin Trousers</v>
      </c>
      <c r="E80" t="str">
        <f>_xlfn.XLOOKUP(Tabla36[[#This Row],[Product ID]],Tabla44[[#This Row],[product_id]],Tabla44[[#This Row],[category]])</f>
        <v>Pants</v>
      </c>
    </row>
    <row r="81" spans="1:5" x14ac:dyDescent="0.3">
      <c r="A81" t="s">
        <v>8</v>
      </c>
      <c r="B81">
        <v>80</v>
      </c>
      <c r="C81">
        <v>23</v>
      </c>
      <c r="D81" t="str">
        <f>_xlfn.XLOOKUP(Tabla36[[#This Row],[Product ID]],Tabla44[[#This Row],[product_id]],Tabla44[[#This Row],[product_name]])</f>
        <v>Classic Ribbed Dress</v>
      </c>
      <c r="E81" t="str">
        <f>_xlfn.XLOOKUP(Tabla36[[#This Row],[Product ID]],Tabla44[[#This Row],[product_id]],Tabla44[[#This Row],[category]])</f>
        <v>Dresses</v>
      </c>
    </row>
    <row r="82" spans="1:5" x14ac:dyDescent="0.3">
      <c r="A82" t="s">
        <v>8</v>
      </c>
      <c r="B82">
        <v>81</v>
      </c>
      <c r="C82">
        <v>57</v>
      </c>
      <c r="D82" t="str">
        <f>_xlfn.XLOOKUP(Tabla36[[#This Row],[Product ID]],Tabla44[[#This Row],[product_id]],Tabla44[[#This Row],[product_name]])</f>
        <v>Modern Ribbed Set</v>
      </c>
      <c r="E82" t="str">
        <f>_xlfn.XLOOKUP(Tabla36[[#This Row],[Product ID]],Tabla44[[#This Row],[product_id]],Tabla44[[#This Row],[category]])</f>
        <v>Sleepwear</v>
      </c>
    </row>
    <row r="83" spans="1:5" x14ac:dyDescent="0.3">
      <c r="A83" t="s">
        <v>8</v>
      </c>
      <c r="B83">
        <v>82</v>
      </c>
      <c r="C83">
        <v>24</v>
      </c>
      <c r="D83" t="str">
        <f>_xlfn.XLOOKUP(Tabla36[[#This Row],[Product ID]],Tabla44[[#This Row],[product_id]],Tabla44[[#This Row],[product_name]])</f>
        <v>Classic Cotton Dress</v>
      </c>
      <c r="E83" t="str">
        <f>_xlfn.XLOOKUP(Tabla36[[#This Row],[Product ID]],Tabla44[[#This Row],[product_id]],Tabla44[[#This Row],[category]])</f>
        <v>Dresses</v>
      </c>
    </row>
    <row r="84" spans="1:5" x14ac:dyDescent="0.3">
      <c r="A84" t="s">
        <v>8</v>
      </c>
      <c r="B84">
        <v>83</v>
      </c>
      <c r="C84">
        <v>81</v>
      </c>
      <c r="D84" t="str">
        <f>_xlfn.XLOOKUP(Tabla36[[#This Row],[Product ID]],Tabla44[[#This Row],[product_id]],Tabla44[[#This Row],[product_name]])</f>
        <v>Modern Sleeveless Tee</v>
      </c>
      <c r="E84" t="str">
        <f>_xlfn.XLOOKUP(Tabla36[[#This Row],[Product ID]],Tabla44[[#This Row],[product_id]],Tabla44[[#This Row],[category]])</f>
        <v>T-Shirts</v>
      </c>
    </row>
    <row r="85" spans="1:5" x14ac:dyDescent="0.3">
      <c r="A85" t="s">
        <v>8</v>
      </c>
      <c r="B85">
        <v>84</v>
      </c>
      <c r="C85">
        <v>87</v>
      </c>
      <c r="D85" t="str">
        <f>_xlfn.XLOOKUP(Tabla36[[#This Row],[Product ID]],Tabla44[[#This Row],[product_id]],Tabla44[[#This Row],[product_name]])</f>
        <v>Modern Cotton Shoes</v>
      </c>
      <c r="E85" t="str">
        <f>_xlfn.XLOOKUP(Tabla36[[#This Row],[Product ID]],Tabla44[[#This Row],[product_id]],Tabla44[[#This Row],[category]])</f>
        <v>Shoes</v>
      </c>
    </row>
    <row r="86" spans="1:5" x14ac:dyDescent="0.3">
      <c r="A86" t="s">
        <v>8</v>
      </c>
      <c r="B86">
        <v>85</v>
      </c>
      <c r="C86">
        <v>96</v>
      </c>
      <c r="D86" t="str">
        <f>_xlfn.XLOOKUP(Tabla36[[#This Row],[Product ID]],Tabla44[[#This Row],[product_id]],Tabla44[[#This Row],[product_name]])</f>
        <v>Classic Satin Dress</v>
      </c>
      <c r="E86" t="str">
        <f>_xlfn.XLOOKUP(Tabla36[[#This Row],[Product ID]],Tabla44[[#This Row],[product_id]],Tabla44[[#This Row],[category]])</f>
        <v>Dresses</v>
      </c>
    </row>
    <row r="87" spans="1:5" x14ac:dyDescent="0.3">
      <c r="A87" t="s">
        <v>8</v>
      </c>
      <c r="B87">
        <v>86</v>
      </c>
      <c r="C87">
        <v>71</v>
      </c>
      <c r="D87" t="str">
        <f>_xlfn.XLOOKUP(Tabla36[[#This Row],[Product ID]],Tabla44[[#This Row],[product_id]],Tabla44[[#This Row],[product_name]])</f>
        <v>Modern Cotton Set</v>
      </c>
      <c r="E87" t="str">
        <f>_xlfn.XLOOKUP(Tabla36[[#This Row],[Product ID]],Tabla44[[#This Row],[product_id]],Tabla44[[#This Row],[category]])</f>
        <v>Sleepwear</v>
      </c>
    </row>
    <row r="88" spans="1:5" x14ac:dyDescent="0.3">
      <c r="A88" t="s">
        <v>8</v>
      </c>
      <c r="B88">
        <v>87</v>
      </c>
      <c r="C88">
        <v>49</v>
      </c>
      <c r="D88" t="str">
        <f>_xlfn.XLOOKUP(Tabla36[[#This Row],[Product ID]],Tabla44[[#This Row],[product_id]],Tabla44[[#This Row],[product_name]])</f>
        <v>Classic Silk Dress</v>
      </c>
      <c r="E88" t="str">
        <f>_xlfn.XLOOKUP(Tabla36[[#This Row],[Product ID]],Tabla44[[#This Row],[product_id]],Tabla44[[#This Row],[category]])</f>
        <v>Dresses</v>
      </c>
    </row>
    <row r="89" spans="1:5" x14ac:dyDescent="0.3">
      <c r="A89" t="s">
        <v>8</v>
      </c>
      <c r="B89">
        <v>88</v>
      </c>
      <c r="C89">
        <v>94</v>
      </c>
      <c r="D89" t="str">
        <f>_xlfn.XLOOKUP(Tabla36[[#This Row],[Product ID]],Tabla44[[#This Row],[product_id]],Tabla44[[#This Row],[product_name]])</f>
        <v>Modern Satin Set</v>
      </c>
      <c r="E89" t="str">
        <f>_xlfn.XLOOKUP(Tabla36[[#This Row],[Product ID]],Tabla44[[#This Row],[product_id]],Tabla44[[#This Row],[category]])</f>
        <v>Sleepwear</v>
      </c>
    </row>
    <row r="90" spans="1:5" x14ac:dyDescent="0.3">
      <c r="A90" t="s">
        <v>8</v>
      </c>
      <c r="B90">
        <v>89</v>
      </c>
      <c r="C90">
        <v>89</v>
      </c>
      <c r="D90" t="str">
        <f>_xlfn.XLOOKUP(Tabla36[[#This Row],[Product ID]],Tabla44[[#This Row],[product_id]],Tabla44[[#This Row],[product_name]])</f>
        <v>Modern Satin Shoes</v>
      </c>
      <c r="E90" t="str">
        <f>_xlfn.XLOOKUP(Tabla36[[#This Row],[Product ID]],Tabla44[[#This Row],[product_id]],Tabla44[[#This Row],[category]])</f>
        <v>Shoes</v>
      </c>
    </row>
    <row r="91" spans="1:5" x14ac:dyDescent="0.3">
      <c r="A91" t="s">
        <v>8</v>
      </c>
      <c r="B91">
        <v>90</v>
      </c>
      <c r="C91">
        <v>91</v>
      </c>
      <c r="D91" t="str">
        <f>_xlfn.XLOOKUP(Tabla36[[#This Row],[Product ID]],Tabla44[[#This Row],[product_id]],Tabla44[[#This Row],[product_name]])</f>
        <v>Modern Silk Shoes</v>
      </c>
      <c r="E91" t="str">
        <f>_xlfn.XLOOKUP(Tabla36[[#This Row],[Product ID]],Tabla44[[#This Row],[product_id]],Tabla44[[#This Row],[category]])</f>
        <v>Shoes</v>
      </c>
    </row>
    <row r="92" spans="1:5" x14ac:dyDescent="0.3">
      <c r="A92" t="s">
        <v>8</v>
      </c>
      <c r="B92">
        <v>91</v>
      </c>
      <c r="C92">
        <v>62</v>
      </c>
      <c r="D92" t="str">
        <f>_xlfn.XLOOKUP(Tabla36[[#This Row],[Product ID]],Tabla44[[#This Row],[product_id]],Tabla44[[#This Row],[product_name]])</f>
        <v>Modern Silk Set</v>
      </c>
      <c r="E92" t="str">
        <f>_xlfn.XLOOKUP(Tabla36[[#This Row],[Product ID]],Tabla44[[#This Row],[product_id]],Tabla44[[#This Row],[category]])</f>
        <v>Sleepwear</v>
      </c>
    </row>
    <row r="93" spans="1:5" x14ac:dyDescent="0.3">
      <c r="A93" t="s">
        <v>8</v>
      </c>
      <c r="B93">
        <v>92</v>
      </c>
      <c r="C93">
        <v>33</v>
      </c>
      <c r="D93" t="str">
        <f>_xlfn.XLOOKUP(Tabla36[[#This Row],[Product ID]],Tabla44[[#This Row],[product_id]],Tabla44[[#This Row],[product_name]])</f>
        <v>Modern Crew Shoes</v>
      </c>
      <c r="E93" t="str">
        <f>_xlfn.XLOOKUP(Tabla36[[#This Row],[Product ID]],Tabla44[[#This Row],[product_id]],Tabla44[[#This Row],[category]])</f>
        <v>Shoes</v>
      </c>
    </row>
    <row r="94" spans="1:5" x14ac:dyDescent="0.3">
      <c r="A94" t="s">
        <v>8</v>
      </c>
      <c r="B94">
        <v>93</v>
      </c>
      <c r="C94">
        <v>35</v>
      </c>
      <c r="D94" t="str">
        <f>_xlfn.XLOOKUP(Tabla36[[#This Row],[Product ID]],Tabla44[[#This Row],[product_id]],Tabla44[[#This Row],[product_name]])</f>
        <v>Modern Silk Trousers</v>
      </c>
      <c r="E94" t="str">
        <f>_xlfn.XLOOKUP(Tabla36[[#This Row],[Product ID]],Tabla44[[#This Row],[product_id]],Tabla44[[#This Row],[category]])</f>
        <v>Pants</v>
      </c>
    </row>
    <row r="95" spans="1:5" x14ac:dyDescent="0.3">
      <c r="A95" t="s">
        <v>8</v>
      </c>
      <c r="B95">
        <v>94</v>
      </c>
      <c r="C95">
        <v>98</v>
      </c>
      <c r="D95" t="str">
        <f>_xlfn.XLOOKUP(Tabla36[[#This Row],[Product ID]],Tabla44[[#This Row],[product_id]],Tabla44[[#This Row],[product_name]])</f>
        <v>Modern Sleeveless Shoes</v>
      </c>
      <c r="E95" t="str">
        <f>_xlfn.XLOOKUP(Tabla36[[#This Row],[Product ID]],Tabla44[[#This Row],[product_id]],Tabla44[[#This Row],[category]])</f>
        <v>Shoes</v>
      </c>
    </row>
    <row r="96" spans="1:5" x14ac:dyDescent="0.3">
      <c r="A96" t="s">
        <v>8</v>
      </c>
      <c r="B96">
        <v>95</v>
      </c>
      <c r="C96">
        <v>69</v>
      </c>
      <c r="D96" t="str">
        <f>_xlfn.XLOOKUP(Tabla36[[#This Row],[Product ID]],Tabla44[[#This Row],[product_id]],Tabla44[[#This Row],[product_name]])</f>
        <v>Modern Crew Set</v>
      </c>
      <c r="E96" t="str">
        <f>_xlfn.XLOOKUP(Tabla36[[#This Row],[Product ID]],Tabla44[[#This Row],[product_id]],Tabla44[[#This Row],[category]])</f>
        <v>Sleepwear</v>
      </c>
    </row>
    <row r="97" spans="1:5" x14ac:dyDescent="0.3">
      <c r="A97" t="s">
        <v>8</v>
      </c>
      <c r="B97">
        <v>96</v>
      </c>
      <c r="C97">
        <v>50</v>
      </c>
      <c r="D97" t="str">
        <f>_xlfn.XLOOKUP(Tabla36[[#This Row],[Product ID]],Tabla44[[#This Row],[product_id]],Tabla44[[#This Row],[product_name]])</f>
        <v>Modern High-Waist Tee</v>
      </c>
      <c r="E97" t="str">
        <f>_xlfn.XLOOKUP(Tabla36[[#This Row],[Product ID]],Tabla44[[#This Row],[product_id]],Tabla44[[#This Row],[category]])</f>
        <v>T-Shirts</v>
      </c>
    </row>
    <row r="98" spans="1:5" x14ac:dyDescent="0.3">
      <c r="A98" t="s">
        <v>8</v>
      </c>
      <c r="B98">
        <v>97</v>
      </c>
      <c r="C98">
        <v>3</v>
      </c>
      <c r="D98" t="str">
        <f>_xlfn.XLOOKUP(Tabla36[[#This Row],[Product ID]],Tabla44[[#This Row],[product_id]],Tabla44[[#This Row],[product_name]])</f>
        <v>Modern High-Waist Shoes</v>
      </c>
      <c r="E98" t="str">
        <f>_xlfn.XLOOKUP(Tabla36[[#This Row],[Product ID]],Tabla44[[#This Row],[product_id]],Tabla44[[#This Row],[category]])</f>
        <v>Shoes</v>
      </c>
    </row>
    <row r="99" spans="1:5" x14ac:dyDescent="0.3">
      <c r="A99" t="s">
        <v>8</v>
      </c>
      <c r="B99">
        <v>98</v>
      </c>
      <c r="C99">
        <v>24</v>
      </c>
      <c r="D99" t="str">
        <f>_xlfn.XLOOKUP(Tabla36[[#This Row],[Product ID]],Tabla44[[#This Row],[product_id]],Tabla44[[#This Row],[product_name]])</f>
        <v>Modern Boxy Shoes</v>
      </c>
      <c r="E99" t="str">
        <f>_xlfn.XLOOKUP(Tabla36[[#This Row],[Product ID]],Tabla44[[#This Row],[product_id]],Tabla44[[#This Row],[category]])</f>
        <v>Shoes</v>
      </c>
    </row>
    <row r="100" spans="1:5" x14ac:dyDescent="0.3">
      <c r="A100" t="s">
        <v>8</v>
      </c>
      <c r="B100">
        <v>99</v>
      </c>
      <c r="C100">
        <v>54</v>
      </c>
      <c r="D100" t="str">
        <f>_xlfn.XLOOKUP(Tabla36[[#This Row],[Product ID]],Tabla44[[#This Row],[product_id]],Tabla44[[#This Row],[product_name]])</f>
        <v>Modern Boxy Tee</v>
      </c>
      <c r="E100" t="str">
        <f>_xlfn.XLOOKUP(Tabla36[[#This Row],[Product ID]],Tabla44[[#This Row],[product_id]],Tabla44[[#This Row],[category]])</f>
        <v>T-Shirts</v>
      </c>
    </row>
    <row r="101" spans="1:5" x14ac:dyDescent="0.3">
      <c r="A101" t="s">
        <v>8</v>
      </c>
      <c r="B101">
        <v>100</v>
      </c>
      <c r="C101">
        <v>74</v>
      </c>
      <c r="D101" t="str">
        <f>_xlfn.XLOOKUP(Tabla36[[#This Row],[Product ID]],Tabla44[[#This Row],[product_id]],Tabla44[[#This Row],[product_name]])</f>
        <v>Classic Crew Dress</v>
      </c>
      <c r="E101" t="str">
        <f>_xlfn.XLOOKUP(Tabla36[[#This Row],[Product ID]],Tabla44[[#This Row],[product_id]],Tabla44[[#This Row],[category]])</f>
        <v>Dresses</v>
      </c>
    </row>
    <row r="102" spans="1:5" x14ac:dyDescent="0.3">
      <c r="A102" t="s">
        <v>8</v>
      </c>
      <c r="B102">
        <v>101</v>
      </c>
      <c r="C102">
        <v>98</v>
      </c>
      <c r="D102" t="str">
        <f>_xlfn.XLOOKUP(Tabla36[[#This Row],[Product ID]],Tabla44[[#This Row],[product_id]],Tabla44[[#This Row],[product_name]])</f>
        <v>Classic Wrap Tee</v>
      </c>
      <c r="E102" t="str">
        <f>_xlfn.XLOOKUP(Tabla36[[#This Row],[Product ID]],Tabla44[[#This Row],[product_id]],Tabla44[[#This Row],[category]])</f>
        <v>T-Shirts</v>
      </c>
    </row>
    <row r="103" spans="1:5" x14ac:dyDescent="0.3">
      <c r="A103" t="s">
        <v>8</v>
      </c>
      <c r="B103">
        <v>102</v>
      </c>
      <c r="C103">
        <v>80</v>
      </c>
      <c r="D103" t="str">
        <f>_xlfn.XLOOKUP(Tabla36[[#This Row],[Product ID]],Tabla44[[#This Row],[product_id]],Tabla44[[#This Row],[product_name]])</f>
        <v>Classic Linen Tee</v>
      </c>
      <c r="E103" t="str">
        <f>_xlfn.XLOOKUP(Tabla36[[#This Row],[Product ID]],Tabla44[[#This Row],[product_id]],Tabla44[[#This Row],[category]])</f>
        <v>T-Shirts</v>
      </c>
    </row>
    <row r="104" spans="1:5" x14ac:dyDescent="0.3">
      <c r="A104" t="s">
        <v>8</v>
      </c>
      <c r="B104">
        <v>103</v>
      </c>
      <c r="C104">
        <v>18</v>
      </c>
      <c r="D104" t="str">
        <f>_xlfn.XLOOKUP(Tabla36[[#This Row],[Product ID]],Tabla44[[#This Row],[product_id]],Tabla44[[#This Row],[product_name]])</f>
        <v>Classic Ribbed Tee</v>
      </c>
      <c r="E104" t="str">
        <f>_xlfn.XLOOKUP(Tabla36[[#This Row],[Product ID]],Tabla44[[#This Row],[product_id]],Tabla44[[#This Row],[category]])</f>
        <v>T-Shirts</v>
      </c>
    </row>
    <row r="105" spans="1:5" x14ac:dyDescent="0.3">
      <c r="A105" t="s">
        <v>8</v>
      </c>
      <c r="B105">
        <v>104</v>
      </c>
      <c r="C105">
        <v>97</v>
      </c>
      <c r="D105" t="str">
        <f>_xlfn.XLOOKUP(Tabla36[[#This Row],[Product ID]],Tabla44[[#This Row],[product_id]],Tabla44[[#This Row],[product_name]])</f>
        <v>Classic Wrap Shoes</v>
      </c>
      <c r="E105" t="str">
        <f>_xlfn.XLOOKUP(Tabla36[[#This Row],[Product ID]],Tabla44[[#This Row],[product_id]],Tabla44[[#This Row],[category]])</f>
        <v>Shoes</v>
      </c>
    </row>
    <row r="106" spans="1:5" x14ac:dyDescent="0.3">
      <c r="A106" t="s">
        <v>8</v>
      </c>
      <c r="B106">
        <v>105</v>
      </c>
      <c r="C106">
        <v>10</v>
      </c>
      <c r="D106" t="str">
        <f>_xlfn.XLOOKUP(Tabla36[[#This Row],[Product ID]],Tabla44[[#This Row],[product_id]],Tabla44[[#This Row],[product_name]])</f>
        <v>Classic Cotton Tee</v>
      </c>
      <c r="E106" t="str">
        <f>_xlfn.XLOOKUP(Tabla36[[#This Row],[Product ID]],Tabla44[[#This Row],[product_id]],Tabla44[[#This Row],[category]])</f>
        <v>T-Shirts</v>
      </c>
    </row>
    <row r="107" spans="1:5" x14ac:dyDescent="0.3">
      <c r="A107" t="s">
        <v>8</v>
      </c>
      <c r="B107">
        <v>106</v>
      </c>
      <c r="C107">
        <v>17</v>
      </c>
      <c r="D107" t="str">
        <f>_xlfn.XLOOKUP(Tabla36[[#This Row],[Product ID]],Tabla44[[#This Row],[product_id]],Tabla44[[#This Row],[product_name]])</f>
        <v>Classic Satin Tee</v>
      </c>
      <c r="E107" t="str">
        <f>_xlfn.XLOOKUP(Tabla36[[#This Row],[Product ID]],Tabla44[[#This Row],[product_id]],Tabla44[[#This Row],[category]])</f>
        <v>T-Shirts</v>
      </c>
    </row>
    <row r="108" spans="1:5" x14ac:dyDescent="0.3">
      <c r="A108" t="s">
        <v>8</v>
      </c>
      <c r="B108">
        <v>107</v>
      </c>
      <c r="C108">
        <v>97</v>
      </c>
      <c r="D108" t="str">
        <f>_xlfn.XLOOKUP(Tabla36[[#This Row],[Product ID]],Tabla44[[#This Row],[product_id]],Tabla44[[#This Row],[product_name]])</f>
        <v>Classic Linen Shoes</v>
      </c>
      <c r="E108" t="str">
        <f>_xlfn.XLOOKUP(Tabla36[[#This Row],[Product ID]],Tabla44[[#This Row],[product_id]],Tabla44[[#This Row],[category]])</f>
        <v>Shoes</v>
      </c>
    </row>
    <row r="109" spans="1:5" x14ac:dyDescent="0.3">
      <c r="A109" t="s">
        <v>8</v>
      </c>
      <c r="B109">
        <v>108</v>
      </c>
      <c r="C109">
        <v>72</v>
      </c>
      <c r="D109" t="str">
        <f>_xlfn.XLOOKUP(Tabla36[[#This Row],[Product ID]],Tabla44[[#This Row],[product_id]],Tabla44[[#This Row],[product_name]])</f>
        <v>Modern Crew Trousers</v>
      </c>
      <c r="E109" t="str">
        <f>_xlfn.XLOOKUP(Tabla36[[#This Row],[Product ID]],Tabla44[[#This Row],[product_id]],Tabla44[[#This Row],[category]])</f>
        <v>Pants</v>
      </c>
    </row>
    <row r="110" spans="1:5" x14ac:dyDescent="0.3">
      <c r="A110" t="s">
        <v>8</v>
      </c>
      <c r="B110">
        <v>109</v>
      </c>
      <c r="C110">
        <v>20</v>
      </c>
      <c r="D110" t="str">
        <f>_xlfn.XLOOKUP(Tabla36[[#This Row],[Product ID]],Tabla44[[#This Row],[product_id]],Tabla44[[#This Row],[product_name]])</f>
        <v>Classic Sleeveless Dress</v>
      </c>
      <c r="E110" t="str">
        <f>_xlfn.XLOOKUP(Tabla36[[#This Row],[Product ID]],Tabla44[[#This Row],[product_id]],Tabla44[[#This Row],[category]])</f>
        <v>Dresses</v>
      </c>
    </row>
    <row r="111" spans="1:5" x14ac:dyDescent="0.3">
      <c r="A111" t="s">
        <v>8</v>
      </c>
      <c r="B111">
        <v>110</v>
      </c>
      <c r="C111">
        <v>90</v>
      </c>
      <c r="D111" t="str">
        <f>_xlfn.XLOOKUP(Tabla36[[#This Row],[Product ID]],Tabla44[[#This Row],[product_id]],Tabla44[[#This Row],[product_name]])</f>
        <v>Classic High-Waist Dress</v>
      </c>
      <c r="E111" t="str">
        <f>_xlfn.XLOOKUP(Tabla36[[#This Row],[Product ID]],Tabla44[[#This Row],[product_id]],Tabla44[[#This Row],[category]])</f>
        <v>Dresses</v>
      </c>
    </row>
    <row r="112" spans="1:5" x14ac:dyDescent="0.3">
      <c r="A112" t="s">
        <v>8</v>
      </c>
      <c r="B112">
        <v>111</v>
      </c>
      <c r="C112">
        <v>17</v>
      </c>
      <c r="D112" t="str">
        <f>_xlfn.XLOOKUP(Tabla36[[#This Row],[Product ID]],Tabla44[[#This Row],[product_id]],Tabla44[[#This Row],[product_name]])</f>
        <v>Modern Sleeveless Trousers</v>
      </c>
      <c r="E112" t="str">
        <f>_xlfn.XLOOKUP(Tabla36[[#This Row],[Product ID]],Tabla44[[#This Row],[product_id]],Tabla44[[#This Row],[category]])</f>
        <v>Pants</v>
      </c>
    </row>
    <row r="113" spans="1:5" x14ac:dyDescent="0.3">
      <c r="A113" t="s">
        <v>8</v>
      </c>
      <c r="B113">
        <v>112</v>
      </c>
      <c r="C113">
        <v>44</v>
      </c>
      <c r="D113" t="str">
        <f>_xlfn.XLOOKUP(Tabla36[[#This Row],[Product ID]],Tabla44[[#This Row],[product_id]],Tabla44[[#This Row],[product_name]])</f>
        <v>Modern Sleeveless Set</v>
      </c>
      <c r="E113" t="str">
        <f>_xlfn.XLOOKUP(Tabla36[[#This Row],[Product ID]],Tabla44[[#This Row],[product_id]],Tabla44[[#This Row],[category]])</f>
        <v>Sleepwear</v>
      </c>
    </row>
    <row r="114" spans="1:5" x14ac:dyDescent="0.3">
      <c r="A114" t="s">
        <v>8</v>
      </c>
      <c r="B114">
        <v>113</v>
      </c>
      <c r="C114">
        <v>44</v>
      </c>
      <c r="D114" t="str">
        <f>_xlfn.XLOOKUP(Tabla36[[#This Row],[Product ID]],Tabla44[[#This Row],[product_id]],Tabla44[[#This Row],[product_name]])</f>
        <v>Classic Boxy Dress</v>
      </c>
      <c r="E114" t="str">
        <f>_xlfn.XLOOKUP(Tabla36[[#This Row],[Product ID]],Tabla44[[#This Row],[product_id]],Tabla44[[#This Row],[category]])</f>
        <v>Dresses</v>
      </c>
    </row>
    <row r="115" spans="1:5" x14ac:dyDescent="0.3">
      <c r="A115" t="s">
        <v>8</v>
      </c>
      <c r="B115">
        <v>114</v>
      </c>
      <c r="C115">
        <v>42</v>
      </c>
      <c r="D115" t="str">
        <f>_xlfn.XLOOKUP(Tabla36[[#This Row],[Product ID]],Tabla44[[#This Row],[product_id]],Tabla44[[#This Row],[product_name]])</f>
        <v>Classic Ribbed Shoes</v>
      </c>
      <c r="E115" t="str">
        <f>_xlfn.XLOOKUP(Tabla36[[#This Row],[Product ID]],Tabla44[[#This Row],[product_id]],Tabla44[[#This Row],[category]])</f>
        <v>Shoes</v>
      </c>
    </row>
    <row r="116" spans="1:5" x14ac:dyDescent="0.3">
      <c r="A116" t="s">
        <v>8</v>
      </c>
      <c r="B116">
        <v>115</v>
      </c>
      <c r="C116">
        <v>14</v>
      </c>
      <c r="D116" t="str">
        <f>_xlfn.XLOOKUP(Tabla36[[#This Row],[Product ID]],Tabla44[[#This Row],[product_id]],Tabla44[[#This Row],[product_name]])</f>
        <v>Modern High-Waist Set</v>
      </c>
      <c r="E116" t="str">
        <f>_xlfn.XLOOKUP(Tabla36[[#This Row],[Product ID]],Tabla44[[#This Row],[product_id]],Tabla44[[#This Row],[category]])</f>
        <v>Sleepwear</v>
      </c>
    </row>
    <row r="117" spans="1:5" x14ac:dyDescent="0.3">
      <c r="A117" t="s">
        <v>8</v>
      </c>
      <c r="B117">
        <v>116</v>
      </c>
      <c r="C117">
        <v>50</v>
      </c>
      <c r="D117" t="str">
        <f>_xlfn.XLOOKUP(Tabla36[[#This Row],[Product ID]],Tabla44[[#This Row],[product_id]],Tabla44[[#This Row],[product_name]])</f>
        <v>Modern High-Waist Trousers</v>
      </c>
      <c r="E117" t="str">
        <f>_xlfn.XLOOKUP(Tabla36[[#This Row],[Product ID]],Tabla44[[#This Row],[product_id]],Tabla44[[#This Row],[category]])</f>
        <v>Pants</v>
      </c>
    </row>
    <row r="118" spans="1:5" x14ac:dyDescent="0.3">
      <c r="A118" t="s">
        <v>8</v>
      </c>
      <c r="B118">
        <v>117</v>
      </c>
      <c r="C118">
        <v>37</v>
      </c>
      <c r="D118" t="str">
        <f>_xlfn.XLOOKUP(Tabla36[[#This Row],[Product ID]],Tabla44[[#This Row],[product_id]],Tabla44[[#This Row],[product_name]])</f>
        <v>Vintage Wrap Dress</v>
      </c>
      <c r="E118" t="str">
        <f>_xlfn.XLOOKUP(Tabla36[[#This Row],[Product ID]],Tabla44[[#This Row],[product_id]],Tabla44[[#This Row],[category]])</f>
        <v>Dresses</v>
      </c>
    </row>
    <row r="119" spans="1:5" x14ac:dyDescent="0.3">
      <c r="A119" t="s">
        <v>8</v>
      </c>
      <c r="B119">
        <v>118</v>
      </c>
      <c r="C119">
        <v>16</v>
      </c>
      <c r="D119" t="str">
        <f>_xlfn.XLOOKUP(Tabla36[[#This Row],[Product ID]],Tabla44[[#This Row],[product_id]],Tabla44[[#This Row],[product_name]])</f>
        <v>Classic Silk Tee</v>
      </c>
      <c r="E119" t="str">
        <f>_xlfn.XLOOKUP(Tabla36[[#This Row],[Product ID]],Tabla44[[#This Row],[product_id]],Tabla44[[#This Row],[category]])</f>
        <v>T-Shirts</v>
      </c>
    </row>
    <row r="120" spans="1:5" x14ac:dyDescent="0.3">
      <c r="A120" t="s">
        <v>8</v>
      </c>
      <c r="B120">
        <v>119</v>
      </c>
      <c r="C120">
        <v>82</v>
      </c>
      <c r="D120" t="str">
        <f>_xlfn.XLOOKUP(Tabla36[[#This Row],[Product ID]],Tabla44[[#This Row],[product_id]],Tabla44[[#This Row],[product_name]])</f>
        <v>Vintage Linen Dress</v>
      </c>
      <c r="E120" t="str">
        <f>_xlfn.XLOOKUP(Tabla36[[#This Row],[Product ID]],Tabla44[[#This Row],[product_id]],Tabla44[[#This Row],[category]])</f>
        <v>Dresses</v>
      </c>
    </row>
    <row r="121" spans="1:5" x14ac:dyDescent="0.3">
      <c r="A121" t="s">
        <v>8</v>
      </c>
      <c r="B121">
        <v>120</v>
      </c>
      <c r="C121">
        <v>81</v>
      </c>
      <c r="D121" t="str">
        <f>_xlfn.XLOOKUP(Tabla36[[#This Row],[Product ID]],Tabla44[[#This Row],[product_id]],Tabla44[[#This Row],[product_name]])</f>
        <v>Modern Boxy Set</v>
      </c>
      <c r="E121" t="str">
        <f>_xlfn.XLOOKUP(Tabla36[[#This Row],[Product ID]],Tabla44[[#This Row],[product_id]],Tabla44[[#This Row],[category]])</f>
        <v>Sleepwear</v>
      </c>
    </row>
    <row r="122" spans="1:5" x14ac:dyDescent="0.3">
      <c r="A122" t="s">
        <v>8</v>
      </c>
      <c r="B122">
        <v>121</v>
      </c>
      <c r="C122">
        <v>21</v>
      </c>
      <c r="D122" t="str">
        <f>_xlfn.XLOOKUP(Tabla36[[#This Row],[Product ID]],Tabla44[[#This Row],[product_id]],Tabla44[[#This Row],[product_name]])</f>
        <v>Classic Cotton Shoes</v>
      </c>
      <c r="E122" t="str">
        <f>_xlfn.XLOOKUP(Tabla36[[#This Row],[Product ID]],Tabla44[[#This Row],[product_id]],Tabla44[[#This Row],[category]])</f>
        <v>Shoes</v>
      </c>
    </row>
    <row r="123" spans="1:5" x14ac:dyDescent="0.3">
      <c r="A123" t="s">
        <v>8</v>
      </c>
      <c r="B123">
        <v>122</v>
      </c>
      <c r="C123">
        <v>43</v>
      </c>
      <c r="D123" t="str">
        <f>_xlfn.XLOOKUP(Tabla36[[#This Row],[Product ID]],Tabla44[[#This Row],[product_id]],Tabla44[[#This Row],[product_name]])</f>
        <v>Modern Boxy Trousers</v>
      </c>
      <c r="E123" t="str">
        <f>_xlfn.XLOOKUP(Tabla36[[#This Row],[Product ID]],Tabla44[[#This Row],[product_id]],Tabla44[[#This Row],[category]])</f>
        <v>Pants</v>
      </c>
    </row>
    <row r="124" spans="1:5" x14ac:dyDescent="0.3">
      <c r="A124" t="s">
        <v>8</v>
      </c>
      <c r="B124">
        <v>123</v>
      </c>
      <c r="C124">
        <v>42</v>
      </c>
      <c r="D124" t="str">
        <f>_xlfn.XLOOKUP(Tabla36[[#This Row],[Product ID]],Tabla44[[#This Row],[product_id]],Tabla44[[#This Row],[product_name]])</f>
        <v>Classic Wrap Set</v>
      </c>
      <c r="E124" t="str">
        <f>_xlfn.XLOOKUP(Tabla36[[#This Row],[Product ID]],Tabla44[[#This Row],[product_id]],Tabla44[[#This Row],[category]])</f>
        <v>Sleepwear</v>
      </c>
    </row>
    <row r="125" spans="1:5" x14ac:dyDescent="0.3">
      <c r="A125" t="s">
        <v>8</v>
      </c>
      <c r="B125">
        <v>124</v>
      </c>
      <c r="C125">
        <v>57</v>
      </c>
      <c r="D125" t="str">
        <f>_xlfn.XLOOKUP(Tabla36[[#This Row],[Product ID]],Tabla44[[#This Row],[product_id]],Tabla44[[#This Row],[product_name]])</f>
        <v>Classic Linen Set</v>
      </c>
      <c r="E125" t="str">
        <f>_xlfn.XLOOKUP(Tabla36[[#This Row],[Product ID]],Tabla44[[#This Row],[product_id]],Tabla44[[#This Row],[category]])</f>
        <v>Sleepwear</v>
      </c>
    </row>
    <row r="126" spans="1:5" x14ac:dyDescent="0.3">
      <c r="A126" t="s">
        <v>8</v>
      </c>
      <c r="B126">
        <v>125</v>
      </c>
      <c r="C126">
        <v>32</v>
      </c>
      <c r="D126" t="str">
        <f>_xlfn.XLOOKUP(Tabla36[[#This Row],[Product ID]],Tabla44[[#This Row],[product_id]],Tabla44[[#This Row],[product_name]])</f>
        <v>Classic Satin Shoes</v>
      </c>
      <c r="E126" t="str">
        <f>_xlfn.XLOOKUP(Tabla36[[#This Row],[Product ID]],Tabla44[[#This Row],[product_id]],Tabla44[[#This Row],[category]])</f>
        <v>Shoes</v>
      </c>
    </row>
    <row r="127" spans="1:5" x14ac:dyDescent="0.3">
      <c r="A127" t="s">
        <v>8</v>
      </c>
      <c r="B127">
        <v>126</v>
      </c>
      <c r="C127">
        <v>71</v>
      </c>
      <c r="D127" t="str">
        <f>_xlfn.XLOOKUP(Tabla36[[#This Row],[Product ID]],Tabla44[[#This Row],[product_id]],Tabla44[[#This Row],[product_name]])</f>
        <v>Classic Silk Shoes</v>
      </c>
      <c r="E127" t="str">
        <f>_xlfn.XLOOKUP(Tabla36[[#This Row],[Product ID]],Tabla44[[#This Row],[product_id]],Tabla44[[#This Row],[category]])</f>
        <v>Shoes</v>
      </c>
    </row>
    <row r="128" spans="1:5" x14ac:dyDescent="0.3">
      <c r="A128" t="s">
        <v>8</v>
      </c>
      <c r="B128">
        <v>127</v>
      </c>
      <c r="C128">
        <v>97</v>
      </c>
      <c r="D128" t="str">
        <f>_xlfn.XLOOKUP(Tabla36[[#This Row],[Product ID]],Tabla44[[#This Row],[product_id]],Tabla44[[#This Row],[product_name]])</f>
        <v>Classic Wrap Trousers</v>
      </c>
      <c r="E128" t="str">
        <f>_xlfn.XLOOKUP(Tabla36[[#This Row],[Product ID]],Tabla44[[#This Row],[product_id]],Tabla44[[#This Row],[category]])</f>
        <v>Pants</v>
      </c>
    </row>
    <row r="129" spans="1:5" x14ac:dyDescent="0.3">
      <c r="A129" t="s">
        <v>8</v>
      </c>
      <c r="B129">
        <v>128</v>
      </c>
      <c r="C129">
        <v>3</v>
      </c>
      <c r="D129" t="str">
        <f>_xlfn.XLOOKUP(Tabla36[[#This Row],[Product ID]],Tabla44[[#This Row],[product_id]],Tabla44[[#This Row],[product_name]])</f>
        <v>Classic Crew Tee</v>
      </c>
      <c r="E129" t="str">
        <f>_xlfn.XLOOKUP(Tabla36[[#This Row],[Product ID]],Tabla44[[#This Row],[product_id]],Tabla44[[#This Row],[category]])</f>
        <v>T-Shirts</v>
      </c>
    </row>
    <row r="130" spans="1:5" x14ac:dyDescent="0.3">
      <c r="A130" t="s">
        <v>8</v>
      </c>
      <c r="B130">
        <v>129</v>
      </c>
      <c r="C130">
        <v>53</v>
      </c>
      <c r="D130" t="str">
        <f>_xlfn.XLOOKUP(Tabla36[[#This Row],[Product ID]],Tabla44[[#This Row],[product_id]],Tabla44[[#This Row],[product_name]])</f>
        <v>Classic Linen Trousers</v>
      </c>
      <c r="E130" t="str">
        <f>_xlfn.XLOOKUP(Tabla36[[#This Row],[Product ID]],Tabla44[[#This Row],[product_id]],Tabla44[[#This Row],[category]])</f>
        <v>Pants</v>
      </c>
    </row>
    <row r="131" spans="1:5" x14ac:dyDescent="0.3">
      <c r="A131" t="s">
        <v>8</v>
      </c>
      <c r="B131">
        <v>130</v>
      </c>
      <c r="C131">
        <v>95</v>
      </c>
      <c r="D131" t="str">
        <f>_xlfn.XLOOKUP(Tabla36[[#This Row],[Product ID]],Tabla44[[#This Row],[product_id]],Tabla44[[#This Row],[product_name]])</f>
        <v>Classic Ribbed Set</v>
      </c>
      <c r="E131" t="str">
        <f>_xlfn.XLOOKUP(Tabla36[[#This Row],[Product ID]],Tabla44[[#This Row],[product_id]],Tabla44[[#This Row],[category]])</f>
        <v>Sleepwear</v>
      </c>
    </row>
    <row r="132" spans="1:5" x14ac:dyDescent="0.3">
      <c r="A132" t="s">
        <v>8</v>
      </c>
      <c r="B132">
        <v>131</v>
      </c>
      <c r="C132">
        <v>44</v>
      </c>
      <c r="D132" t="str">
        <f>_xlfn.XLOOKUP(Tabla36[[#This Row],[Product ID]],Tabla44[[#This Row],[product_id]],Tabla44[[#This Row],[product_name]])</f>
        <v>Classic Cotton Set</v>
      </c>
      <c r="E132" t="str">
        <f>_xlfn.XLOOKUP(Tabla36[[#This Row],[Product ID]],Tabla44[[#This Row],[product_id]],Tabla44[[#This Row],[category]])</f>
        <v>Sleepwear</v>
      </c>
    </row>
    <row r="133" spans="1:5" x14ac:dyDescent="0.3">
      <c r="A133" t="s">
        <v>8</v>
      </c>
      <c r="B133">
        <v>132</v>
      </c>
      <c r="C133">
        <v>74</v>
      </c>
      <c r="D133" t="str">
        <f>_xlfn.XLOOKUP(Tabla36[[#This Row],[Product ID]],Tabla44[[#This Row],[product_id]],Tabla44[[#This Row],[product_name]])</f>
        <v>Classic Crew Shoes</v>
      </c>
      <c r="E133" t="str">
        <f>_xlfn.XLOOKUP(Tabla36[[#This Row],[Product ID]],Tabla44[[#This Row],[product_id]],Tabla44[[#This Row],[category]])</f>
        <v>Shoes</v>
      </c>
    </row>
    <row r="134" spans="1:5" x14ac:dyDescent="0.3">
      <c r="A134" t="s">
        <v>8</v>
      </c>
      <c r="B134">
        <v>133</v>
      </c>
      <c r="C134">
        <v>56</v>
      </c>
      <c r="D134" t="str">
        <f>_xlfn.XLOOKUP(Tabla36[[#This Row],[Product ID]],Tabla44[[#This Row],[product_id]],Tabla44[[#This Row],[product_name]])</f>
        <v>Classic Sleeveless Tee</v>
      </c>
      <c r="E134" t="str">
        <f>_xlfn.XLOOKUP(Tabla36[[#This Row],[Product ID]],Tabla44[[#This Row],[product_id]],Tabla44[[#This Row],[category]])</f>
        <v>T-Shirts</v>
      </c>
    </row>
    <row r="135" spans="1:5" x14ac:dyDescent="0.3">
      <c r="A135" t="s">
        <v>8</v>
      </c>
      <c r="B135">
        <v>134</v>
      </c>
      <c r="C135">
        <v>87</v>
      </c>
      <c r="D135" t="str">
        <f>_xlfn.XLOOKUP(Tabla36[[#This Row],[Product ID]],Tabla44[[#This Row],[product_id]],Tabla44[[#This Row],[product_name]])</f>
        <v>Classic Ribbed Trousers</v>
      </c>
      <c r="E135" t="str">
        <f>_xlfn.XLOOKUP(Tabla36[[#This Row],[Product ID]],Tabla44[[#This Row],[product_id]],Tabla44[[#This Row],[category]])</f>
        <v>Pants</v>
      </c>
    </row>
    <row r="136" spans="1:5" x14ac:dyDescent="0.3">
      <c r="A136" t="s">
        <v>8</v>
      </c>
      <c r="B136">
        <v>135</v>
      </c>
      <c r="C136">
        <v>3</v>
      </c>
      <c r="D136" t="str">
        <f>_xlfn.XLOOKUP(Tabla36[[#This Row],[Product ID]],Tabla44[[#This Row],[product_id]],Tabla44[[#This Row],[product_name]])</f>
        <v>Classic Sleeveless Shoes</v>
      </c>
      <c r="E136" t="str">
        <f>_xlfn.XLOOKUP(Tabla36[[#This Row],[Product ID]],Tabla44[[#This Row],[product_id]],Tabla44[[#This Row],[category]])</f>
        <v>Shoes</v>
      </c>
    </row>
    <row r="137" spans="1:5" x14ac:dyDescent="0.3">
      <c r="A137" t="s">
        <v>8</v>
      </c>
      <c r="B137">
        <v>136</v>
      </c>
      <c r="C137">
        <v>10</v>
      </c>
      <c r="D137" t="str">
        <f>_xlfn.XLOOKUP(Tabla36[[#This Row],[Product ID]],Tabla44[[#This Row],[product_id]],Tabla44[[#This Row],[product_name]])</f>
        <v>Classic Cotton Trousers</v>
      </c>
      <c r="E137" t="str">
        <f>_xlfn.XLOOKUP(Tabla36[[#This Row],[Product ID]],Tabla44[[#This Row],[product_id]],Tabla44[[#This Row],[category]])</f>
        <v>Pants</v>
      </c>
    </row>
    <row r="138" spans="1:5" x14ac:dyDescent="0.3">
      <c r="A138" t="s">
        <v>8</v>
      </c>
      <c r="B138">
        <v>137</v>
      </c>
      <c r="C138">
        <v>1</v>
      </c>
      <c r="D138" t="str">
        <f>_xlfn.XLOOKUP(Tabla36[[#This Row],[Product ID]],Tabla44[[#This Row],[product_id]],Tabla44[[#This Row],[product_name]])</f>
        <v>Classic Satin Trousers</v>
      </c>
      <c r="E138" t="str">
        <f>_xlfn.XLOOKUP(Tabla36[[#This Row],[Product ID]],Tabla44[[#This Row],[product_id]],Tabla44[[#This Row],[category]])</f>
        <v>Pants</v>
      </c>
    </row>
    <row r="139" spans="1:5" x14ac:dyDescent="0.3">
      <c r="A139" t="s">
        <v>8</v>
      </c>
      <c r="B139">
        <v>138</v>
      </c>
      <c r="C139">
        <v>99</v>
      </c>
      <c r="D139" t="str">
        <f>_xlfn.XLOOKUP(Tabla36[[#This Row],[Product ID]],Tabla44[[#This Row],[product_id]],Tabla44[[#This Row],[product_name]])</f>
        <v>Classic High-Waist Shoes</v>
      </c>
      <c r="E139" t="str">
        <f>_xlfn.XLOOKUP(Tabla36[[#This Row],[Product ID]],Tabla44[[#This Row],[product_id]],Tabla44[[#This Row],[category]])</f>
        <v>Shoes</v>
      </c>
    </row>
    <row r="140" spans="1:5" x14ac:dyDescent="0.3">
      <c r="A140" t="s">
        <v>8</v>
      </c>
      <c r="B140">
        <v>139</v>
      </c>
      <c r="C140">
        <v>23</v>
      </c>
      <c r="D140" t="str">
        <f>_xlfn.XLOOKUP(Tabla36[[#This Row],[Product ID]],Tabla44[[#This Row],[product_id]],Tabla44[[#This Row],[product_name]])</f>
        <v>Classic High-Waist Tee</v>
      </c>
      <c r="E140" t="str">
        <f>_xlfn.XLOOKUP(Tabla36[[#This Row],[Product ID]],Tabla44[[#This Row],[product_id]],Tabla44[[#This Row],[category]])</f>
        <v>T-Shirts</v>
      </c>
    </row>
    <row r="141" spans="1:5" x14ac:dyDescent="0.3">
      <c r="A141" t="s">
        <v>8</v>
      </c>
      <c r="B141">
        <v>140</v>
      </c>
      <c r="C141">
        <v>5</v>
      </c>
      <c r="D141" t="str">
        <f>_xlfn.XLOOKUP(Tabla36[[#This Row],[Product ID]],Tabla44[[#This Row],[product_id]],Tabla44[[#This Row],[product_name]])</f>
        <v>Vintage Ribbed Dress</v>
      </c>
      <c r="E141" t="str">
        <f>_xlfn.XLOOKUP(Tabla36[[#This Row],[Product ID]],Tabla44[[#This Row],[product_id]],Tabla44[[#This Row],[category]])</f>
        <v>Dresses</v>
      </c>
    </row>
    <row r="142" spans="1:5" x14ac:dyDescent="0.3">
      <c r="A142" t="s">
        <v>8</v>
      </c>
      <c r="B142">
        <v>141</v>
      </c>
      <c r="C142">
        <v>18</v>
      </c>
      <c r="D142" t="str">
        <f>_xlfn.XLOOKUP(Tabla36[[#This Row],[Product ID]],Tabla44[[#This Row],[product_id]],Tabla44[[#This Row],[product_name]])</f>
        <v>Vintage Cotton Dress</v>
      </c>
      <c r="E142" t="str">
        <f>_xlfn.XLOOKUP(Tabla36[[#This Row],[Product ID]],Tabla44[[#This Row],[product_id]],Tabla44[[#This Row],[category]])</f>
        <v>Dresses</v>
      </c>
    </row>
    <row r="143" spans="1:5" x14ac:dyDescent="0.3">
      <c r="A143" t="s">
        <v>8</v>
      </c>
      <c r="B143">
        <v>142</v>
      </c>
      <c r="C143">
        <v>88</v>
      </c>
      <c r="D143" t="str">
        <f>_xlfn.XLOOKUP(Tabla36[[#This Row],[Product ID]],Tabla44[[#This Row],[product_id]],Tabla44[[#This Row],[product_name]])</f>
        <v>Vintage Satin Dress</v>
      </c>
      <c r="E143" t="str">
        <f>_xlfn.XLOOKUP(Tabla36[[#This Row],[Product ID]],Tabla44[[#This Row],[product_id]],Tabla44[[#This Row],[category]])</f>
        <v>Dresses</v>
      </c>
    </row>
    <row r="144" spans="1:5" x14ac:dyDescent="0.3">
      <c r="A144" t="s">
        <v>8</v>
      </c>
      <c r="B144">
        <v>143</v>
      </c>
      <c r="C144">
        <v>24</v>
      </c>
      <c r="D144" t="str">
        <f>_xlfn.XLOOKUP(Tabla36[[#This Row],[Product ID]],Tabla44[[#This Row],[product_id]],Tabla44[[#This Row],[product_name]])</f>
        <v>Classic Satin Set</v>
      </c>
      <c r="E144" t="str">
        <f>_xlfn.XLOOKUP(Tabla36[[#This Row],[Product ID]],Tabla44[[#This Row],[product_id]],Tabla44[[#This Row],[category]])</f>
        <v>Sleepwear</v>
      </c>
    </row>
    <row r="145" spans="1:5" x14ac:dyDescent="0.3">
      <c r="A145" t="s">
        <v>8</v>
      </c>
      <c r="B145">
        <v>144</v>
      </c>
      <c r="C145">
        <v>99</v>
      </c>
      <c r="D145" t="str">
        <f>_xlfn.XLOOKUP(Tabla36[[#This Row],[Product ID]],Tabla44[[#This Row],[product_id]],Tabla44[[#This Row],[product_name]])</f>
        <v>Classic Silk Trousers</v>
      </c>
      <c r="E145" t="str">
        <f>_xlfn.XLOOKUP(Tabla36[[#This Row],[Product ID]],Tabla44[[#This Row],[product_id]],Tabla44[[#This Row],[category]])</f>
        <v>Pants</v>
      </c>
    </row>
    <row r="146" spans="1:5" x14ac:dyDescent="0.3">
      <c r="A146" t="s">
        <v>8</v>
      </c>
      <c r="B146">
        <v>145</v>
      </c>
      <c r="C146">
        <v>51</v>
      </c>
      <c r="D146" t="str">
        <f>_xlfn.XLOOKUP(Tabla36[[#This Row],[Product ID]],Tabla44[[#This Row],[product_id]],Tabla44[[#This Row],[product_name]])</f>
        <v>Classic Boxy Shoes</v>
      </c>
      <c r="E146" t="str">
        <f>_xlfn.XLOOKUP(Tabla36[[#This Row],[Product ID]],Tabla44[[#This Row],[product_id]],Tabla44[[#This Row],[category]])</f>
        <v>Shoes</v>
      </c>
    </row>
    <row r="147" spans="1:5" x14ac:dyDescent="0.3">
      <c r="A147" t="s">
        <v>8</v>
      </c>
      <c r="B147">
        <v>146</v>
      </c>
      <c r="C147">
        <v>86</v>
      </c>
      <c r="D147" t="str">
        <f>_xlfn.XLOOKUP(Tabla36[[#This Row],[Product ID]],Tabla44[[#This Row],[product_id]],Tabla44[[#This Row],[product_name]])</f>
        <v>Vintage Wrap Shoes</v>
      </c>
      <c r="E147" t="str">
        <f>_xlfn.XLOOKUP(Tabla36[[#This Row],[Product ID]],Tabla44[[#This Row],[product_id]],Tabla44[[#This Row],[category]])</f>
        <v>Shoes</v>
      </c>
    </row>
    <row r="148" spans="1:5" x14ac:dyDescent="0.3">
      <c r="A148" t="s">
        <v>8</v>
      </c>
      <c r="B148">
        <v>147</v>
      </c>
      <c r="C148">
        <v>60</v>
      </c>
      <c r="D148" t="str">
        <f>_xlfn.XLOOKUP(Tabla36[[#This Row],[Product ID]],Tabla44[[#This Row],[product_id]],Tabla44[[#This Row],[product_name]])</f>
        <v>Vintage Linen Shoes</v>
      </c>
      <c r="E148" t="str">
        <f>_xlfn.XLOOKUP(Tabla36[[#This Row],[Product ID]],Tabla44[[#This Row],[product_id]],Tabla44[[#This Row],[category]])</f>
        <v>Shoes</v>
      </c>
    </row>
    <row r="149" spans="1:5" x14ac:dyDescent="0.3">
      <c r="A149" t="s">
        <v>8</v>
      </c>
      <c r="B149">
        <v>148</v>
      </c>
      <c r="C149">
        <v>72</v>
      </c>
      <c r="D149" t="str">
        <f>_xlfn.XLOOKUP(Tabla36[[#This Row],[Product ID]],Tabla44[[#This Row],[product_id]],Tabla44[[#This Row],[product_name]])</f>
        <v>Classic Boxy Tee</v>
      </c>
      <c r="E149" t="str">
        <f>_xlfn.XLOOKUP(Tabla36[[#This Row],[Product ID]],Tabla44[[#This Row],[product_id]],Tabla44[[#This Row],[category]])</f>
        <v>T-Shirts</v>
      </c>
    </row>
    <row r="150" spans="1:5" x14ac:dyDescent="0.3">
      <c r="A150" t="s">
        <v>8</v>
      </c>
      <c r="B150">
        <v>149</v>
      </c>
      <c r="C150">
        <v>61</v>
      </c>
      <c r="D150" t="str">
        <f>_xlfn.XLOOKUP(Tabla36[[#This Row],[Product ID]],Tabla44[[#This Row],[product_id]],Tabla44[[#This Row],[product_name]])</f>
        <v>Classic Crew Trousers</v>
      </c>
      <c r="E150" t="str">
        <f>_xlfn.XLOOKUP(Tabla36[[#This Row],[Product ID]],Tabla44[[#This Row],[product_id]],Tabla44[[#This Row],[category]])</f>
        <v>Pants</v>
      </c>
    </row>
    <row r="151" spans="1:5" x14ac:dyDescent="0.3">
      <c r="A151" t="s">
        <v>8</v>
      </c>
      <c r="B151">
        <v>150</v>
      </c>
      <c r="C151">
        <v>5</v>
      </c>
      <c r="D151" t="str">
        <f>_xlfn.XLOOKUP(Tabla36[[#This Row],[Product ID]],Tabla44[[#This Row],[product_id]],Tabla44[[#This Row],[product_name]])</f>
        <v>Vintage Wrap Tee</v>
      </c>
      <c r="E151" t="str">
        <f>_xlfn.XLOOKUP(Tabla36[[#This Row],[Product ID]],Tabla44[[#This Row],[product_id]],Tabla44[[#This Row],[category]])</f>
        <v>T-Shirts</v>
      </c>
    </row>
    <row r="152" spans="1:5" x14ac:dyDescent="0.3">
      <c r="A152" t="s">
        <v>8</v>
      </c>
      <c r="B152">
        <v>151</v>
      </c>
      <c r="C152">
        <v>32</v>
      </c>
      <c r="D152" t="str">
        <f>_xlfn.XLOOKUP(Tabla36[[#This Row],[Product ID]],Tabla44[[#This Row],[product_id]],Tabla44[[#This Row],[product_name]])</f>
        <v>Classic Sleeveless Trousers</v>
      </c>
      <c r="E152" t="str">
        <f>_xlfn.XLOOKUP(Tabla36[[#This Row],[Product ID]],Tabla44[[#This Row],[product_id]],Tabla44[[#This Row],[category]])</f>
        <v>Pants</v>
      </c>
    </row>
    <row r="153" spans="1:5" x14ac:dyDescent="0.3">
      <c r="A153" t="s">
        <v>8</v>
      </c>
      <c r="B153">
        <v>152</v>
      </c>
      <c r="C153">
        <v>24</v>
      </c>
      <c r="D153" t="str">
        <f>_xlfn.XLOOKUP(Tabla36[[#This Row],[Product ID]],Tabla44[[#This Row],[product_id]],Tabla44[[#This Row],[product_name]])</f>
        <v>Classic Silk Set</v>
      </c>
      <c r="E153" t="str">
        <f>_xlfn.XLOOKUP(Tabla36[[#This Row],[Product ID]],Tabla44[[#This Row],[product_id]],Tabla44[[#This Row],[category]])</f>
        <v>Sleepwear</v>
      </c>
    </row>
    <row r="154" spans="1:5" x14ac:dyDescent="0.3">
      <c r="A154" t="s">
        <v>8</v>
      </c>
      <c r="B154">
        <v>153</v>
      </c>
      <c r="C154">
        <v>52</v>
      </c>
      <c r="D154" t="str">
        <f>_xlfn.XLOOKUP(Tabla36[[#This Row],[Product ID]],Tabla44[[#This Row],[product_id]],Tabla44[[#This Row],[product_name]])</f>
        <v>Vintage Ribbed Shoes</v>
      </c>
      <c r="E154" t="str">
        <f>_xlfn.XLOOKUP(Tabla36[[#This Row],[Product ID]],Tabla44[[#This Row],[product_id]],Tabla44[[#This Row],[category]])</f>
        <v>Shoes</v>
      </c>
    </row>
    <row r="155" spans="1:5" x14ac:dyDescent="0.3">
      <c r="A155" t="s">
        <v>8</v>
      </c>
      <c r="B155">
        <v>154</v>
      </c>
      <c r="C155">
        <v>38</v>
      </c>
      <c r="D155" t="str">
        <f>_xlfn.XLOOKUP(Tabla36[[#This Row],[Product ID]],Tabla44[[#This Row],[product_id]],Tabla44[[#This Row],[product_name]])</f>
        <v>Classic Crew Set</v>
      </c>
      <c r="E155" t="str">
        <f>_xlfn.XLOOKUP(Tabla36[[#This Row],[Product ID]],Tabla44[[#This Row],[product_id]],Tabla44[[#This Row],[category]])</f>
        <v>Sleepwear</v>
      </c>
    </row>
    <row r="156" spans="1:5" x14ac:dyDescent="0.3">
      <c r="A156" t="s">
        <v>8</v>
      </c>
      <c r="B156">
        <v>155</v>
      </c>
      <c r="C156">
        <v>45</v>
      </c>
      <c r="D156" t="str">
        <f>_xlfn.XLOOKUP(Tabla36[[#This Row],[Product ID]],Tabla44[[#This Row],[product_id]],Tabla44[[#This Row],[product_name]])</f>
        <v>Vintage Silk Dress</v>
      </c>
      <c r="E156" t="str">
        <f>_xlfn.XLOOKUP(Tabla36[[#This Row],[Product ID]],Tabla44[[#This Row],[product_id]],Tabla44[[#This Row],[category]])</f>
        <v>Dresses</v>
      </c>
    </row>
    <row r="157" spans="1:5" x14ac:dyDescent="0.3">
      <c r="A157" t="s">
        <v>8</v>
      </c>
      <c r="B157">
        <v>156</v>
      </c>
      <c r="C157">
        <v>22</v>
      </c>
      <c r="D157" t="str">
        <f>_xlfn.XLOOKUP(Tabla36[[#This Row],[Product ID]],Tabla44[[#This Row],[product_id]],Tabla44[[#This Row],[product_name]])</f>
        <v>Vintage Crew Dress</v>
      </c>
      <c r="E157" t="str">
        <f>_xlfn.XLOOKUP(Tabla36[[#This Row],[Product ID]],Tabla44[[#This Row],[product_id]],Tabla44[[#This Row],[category]])</f>
        <v>Dresses</v>
      </c>
    </row>
    <row r="158" spans="1:5" x14ac:dyDescent="0.3">
      <c r="A158" t="s">
        <v>8</v>
      </c>
      <c r="B158">
        <v>157</v>
      </c>
      <c r="C158">
        <v>1</v>
      </c>
      <c r="D158" t="str">
        <f>_xlfn.XLOOKUP(Tabla36[[#This Row],[Product ID]],Tabla44[[#This Row],[product_id]],Tabla44[[#This Row],[product_name]])</f>
        <v>Classic Sleeveless Set</v>
      </c>
      <c r="E158" t="str">
        <f>_xlfn.XLOOKUP(Tabla36[[#This Row],[Product ID]],Tabla44[[#This Row],[product_id]],Tabla44[[#This Row],[category]])</f>
        <v>Sleepwear</v>
      </c>
    </row>
    <row r="159" spans="1:5" x14ac:dyDescent="0.3">
      <c r="A159" t="s">
        <v>8</v>
      </c>
      <c r="B159">
        <v>158</v>
      </c>
      <c r="C159">
        <v>80</v>
      </c>
      <c r="D159" t="str">
        <f>_xlfn.XLOOKUP(Tabla36[[#This Row],[Product ID]],Tabla44[[#This Row],[product_id]],Tabla44[[#This Row],[product_name]])</f>
        <v>Vintage Sleeveless Dress</v>
      </c>
      <c r="E159" t="str">
        <f>_xlfn.XLOOKUP(Tabla36[[#This Row],[Product ID]],Tabla44[[#This Row],[product_id]],Tabla44[[#This Row],[category]])</f>
        <v>Dresses</v>
      </c>
    </row>
    <row r="160" spans="1:5" x14ac:dyDescent="0.3">
      <c r="A160" t="s">
        <v>8</v>
      </c>
      <c r="B160">
        <v>159</v>
      </c>
      <c r="C160">
        <v>68</v>
      </c>
      <c r="D160" t="str">
        <f>_xlfn.XLOOKUP(Tabla36[[#This Row],[Product ID]],Tabla44[[#This Row],[product_id]],Tabla44[[#This Row],[product_name]])</f>
        <v>Classic High-Waist Trousers</v>
      </c>
      <c r="E160" t="str">
        <f>_xlfn.XLOOKUP(Tabla36[[#This Row],[Product ID]],Tabla44[[#This Row],[product_id]],Tabla44[[#This Row],[category]])</f>
        <v>Pants</v>
      </c>
    </row>
    <row r="161" spans="1:5" x14ac:dyDescent="0.3">
      <c r="A161" t="s">
        <v>8</v>
      </c>
      <c r="B161">
        <v>160</v>
      </c>
      <c r="C161">
        <v>95</v>
      </c>
      <c r="D161" t="str">
        <f>_xlfn.XLOOKUP(Tabla36[[#This Row],[Product ID]],Tabla44[[#This Row],[product_id]],Tabla44[[#This Row],[product_name]])</f>
        <v>Classic High-Waist Set</v>
      </c>
      <c r="E161" t="str">
        <f>_xlfn.XLOOKUP(Tabla36[[#This Row],[Product ID]],Tabla44[[#This Row],[product_id]],Tabla44[[#This Row],[category]])</f>
        <v>Sleepwear</v>
      </c>
    </row>
    <row r="162" spans="1:5" x14ac:dyDescent="0.3">
      <c r="A162" t="s">
        <v>8</v>
      </c>
      <c r="B162">
        <v>161</v>
      </c>
      <c r="C162">
        <v>37</v>
      </c>
      <c r="D162" t="str">
        <f>_xlfn.XLOOKUP(Tabla36[[#This Row],[Product ID]],Tabla44[[#This Row],[product_id]],Tabla44[[#This Row],[product_name]])</f>
        <v>Vintage Linen Tee</v>
      </c>
      <c r="E162" t="str">
        <f>_xlfn.XLOOKUP(Tabla36[[#This Row],[Product ID]],Tabla44[[#This Row],[product_id]],Tabla44[[#This Row],[category]])</f>
        <v>T-Shirts</v>
      </c>
    </row>
    <row r="163" spans="1:5" x14ac:dyDescent="0.3">
      <c r="A163" t="s">
        <v>8</v>
      </c>
      <c r="B163">
        <v>162</v>
      </c>
      <c r="C163">
        <v>75</v>
      </c>
      <c r="D163" t="str">
        <f>_xlfn.XLOOKUP(Tabla36[[#This Row],[Product ID]],Tabla44[[#This Row],[product_id]],Tabla44[[#This Row],[product_name]])</f>
        <v>Classic Boxy Set</v>
      </c>
      <c r="E163" t="str">
        <f>_xlfn.XLOOKUP(Tabla36[[#This Row],[Product ID]],Tabla44[[#This Row],[product_id]],Tabla44[[#This Row],[category]])</f>
        <v>Sleepwear</v>
      </c>
    </row>
    <row r="164" spans="1:5" x14ac:dyDescent="0.3">
      <c r="A164" t="s">
        <v>8</v>
      </c>
      <c r="B164">
        <v>163</v>
      </c>
      <c r="C164">
        <v>51</v>
      </c>
      <c r="D164" t="str">
        <f>_xlfn.XLOOKUP(Tabla36[[#This Row],[Product ID]],Tabla44[[#This Row],[product_id]],Tabla44[[#This Row],[product_name]])</f>
        <v>Vintage Wrap Set</v>
      </c>
      <c r="E164" t="str">
        <f>_xlfn.XLOOKUP(Tabla36[[#This Row],[Product ID]],Tabla44[[#This Row],[product_id]],Tabla44[[#This Row],[category]])</f>
        <v>Sleepwear</v>
      </c>
    </row>
    <row r="165" spans="1:5" x14ac:dyDescent="0.3">
      <c r="A165" t="s">
        <v>8</v>
      </c>
      <c r="B165">
        <v>164</v>
      </c>
      <c r="C165">
        <v>54</v>
      </c>
      <c r="D165" t="str">
        <f>_xlfn.XLOOKUP(Tabla36[[#This Row],[Product ID]],Tabla44[[#This Row],[product_id]],Tabla44[[#This Row],[product_name]])</f>
        <v>Vintage High-Waist Dress</v>
      </c>
      <c r="E165" t="str">
        <f>_xlfn.XLOOKUP(Tabla36[[#This Row],[Product ID]],Tabla44[[#This Row],[product_id]],Tabla44[[#This Row],[category]])</f>
        <v>Dresses</v>
      </c>
    </row>
    <row r="166" spans="1:5" x14ac:dyDescent="0.3">
      <c r="A166" t="s">
        <v>8</v>
      </c>
      <c r="B166">
        <v>165</v>
      </c>
      <c r="C166">
        <v>71</v>
      </c>
      <c r="D166" t="str">
        <f>_xlfn.XLOOKUP(Tabla36[[#This Row],[Product ID]],Tabla44[[#This Row],[product_id]],Tabla44[[#This Row],[product_name]])</f>
        <v>Vintage Cotton Shoes</v>
      </c>
      <c r="E166" t="str">
        <f>_xlfn.XLOOKUP(Tabla36[[#This Row],[Product ID]],Tabla44[[#This Row],[product_id]],Tabla44[[#This Row],[category]])</f>
        <v>Shoes</v>
      </c>
    </row>
    <row r="167" spans="1:5" x14ac:dyDescent="0.3">
      <c r="A167" t="s">
        <v>8</v>
      </c>
      <c r="B167">
        <v>166</v>
      </c>
      <c r="C167">
        <v>66</v>
      </c>
      <c r="D167" t="str">
        <f>_xlfn.XLOOKUP(Tabla36[[#This Row],[Product ID]],Tabla44[[#This Row],[product_id]],Tabla44[[#This Row],[product_name]])</f>
        <v>Vintage Satin Shoes</v>
      </c>
      <c r="E167" t="str">
        <f>_xlfn.XLOOKUP(Tabla36[[#This Row],[Product ID]],Tabla44[[#This Row],[product_id]],Tabla44[[#This Row],[category]])</f>
        <v>Shoes</v>
      </c>
    </row>
    <row r="168" spans="1:5" x14ac:dyDescent="0.3">
      <c r="A168" t="s">
        <v>8</v>
      </c>
      <c r="B168">
        <v>167</v>
      </c>
      <c r="C168">
        <v>15</v>
      </c>
      <c r="D168" t="str">
        <f>_xlfn.XLOOKUP(Tabla36[[#This Row],[Product ID]],Tabla44[[#This Row],[product_id]],Tabla44[[#This Row],[product_name]])</f>
        <v>Vintage Silk Shoes</v>
      </c>
      <c r="E168" t="str">
        <f>_xlfn.XLOOKUP(Tabla36[[#This Row],[Product ID]],Tabla44[[#This Row],[product_id]],Tabla44[[#This Row],[category]])</f>
        <v>Shoes</v>
      </c>
    </row>
    <row r="169" spans="1:5" x14ac:dyDescent="0.3">
      <c r="A169" t="s">
        <v>8</v>
      </c>
      <c r="B169">
        <v>168</v>
      </c>
      <c r="C169">
        <v>37</v>
      </c>
      <c r="D169" t="str">
        <f>_xlfn.XLOOKUP(Tabla36[[#This Row],[Product ID]],Tabla44[[#This Row],[product_id]],Tabla44[[#This Row],[product_name]])</f>
        <v>Vintage Ribbed Tee</v>
      </c>
      <c r="E169" t="str">
        <f>_xlfn.XLOOKUP(Tabla36[[#This Row],[Product ID]],Tabla44[[#This Row],[product_id]],Tabla44[[#This Row],[category]])</f>
        <v>T-Shirts</v>
      </c>
    </row>
    <row r="170" spans="1:5" x14ac:dyDescent="0.3">
      <c r="A170" t="s">
        <v>8</v>
      </c>
      <c r="B170">
        <v>169</v>
      </c>
      <c r="C170">
        <v>37</v>
      </c>
      <c r="D170" t="str">
        <f>_xlfn.XLOOKUP(Tabla36[[#This Row],[Product ID]],Tabla44[[#This Row],[product_id]],Tabla44[[#This Row],[product_name]])</f>
        <v>Vintage Linen Set</v>
      </c>
      <c r="E170" t="str">
        <f>_xlfn.XLOOKUP(Tabla36[[#This Row],[Product ID]],Tabla44[[#This Row],[product_id]],Tabla44[[#This Row],[category]])</f>
        <v>Sleepwear</v>
      </c>
    </row>
    <row r="171" spans="1:5" x14ac:dyDescent="0.3">
      <c r="A171" t="s">
        <v>8</v>
      </c>
      <c r="B171">
        <v>170</v>
      </c>
      <c r="C171">
        <v>53</v>
      </c>
      <c r="D171" t="str">
        <f>_xlfn.XLOOKUP(Tabla36[[#This Row],[Product ID]],Tabla44[[#This Row],[product_id]],Tabla44[[#This Row],[product_name]])</f>
        <v>Vintage Boxy Dress</v>
      </c>
      <c r="E171" t="str">
        <f>_xlfn.XLOOKUP(Tabla36[[#This Row],[Product ID]],Tabla44[[#This Row],[product_id]],Tabla44[[#This Row],[category]])</f>
        <v>Dresses</v>
      </c>
    </row>
    <row r="172" spans="1:5" x14ac:dyDescent="0.3">
      <c r="A172" t="s">
        <v>8</v>
      </c>
      <c r="B172">
        <v>171</v>
      </c>
      <c r="C172">
        <v>3</v>
      </c>
      <c r="D172" t="str">
        <f>_xlfn.XLOOKUP(Tabla36[[#This Row],[Product ID]],Tabla44[[#This Row],[product_id]],Tabla44[[#This Row],[product_name]])</f>
        <v>Polished Wrap Dress</v>
      </c>
      <c r="E172" t="str">
        <f>_xlfn.XLOOKUP(Tabla36[[#This Row],[Product ID]],Tabla44[[#This Row],[product_id]],Tabla44[[#This Row],[category]])</f>
        <v>Dresses</v>
      </c>
    </row>
    <row r="173" spans="1:5" x14ac:dyDescent="0.3">
      <c r="A173" t="s">
        <v>8</v>
      </c>
      <c r="B173">
        <v>172</v>
      </c>
      <c r="C173">
        <v>39</v>
      </c>
      <c r="D173" t="str">
        <f>_xlfn.XLOOKUP(Tabla36[[#This Row],[Product ID]],Tabla44[[#This Row],[product_id]],Tabla44[[#This Row],[product_name]])</f>
        <v>Vintage Crew Shoes</v>
      </c>
      <c r="E173" t="str">
        <f>_xlfn.XLOOKUP(Tabla36[[#This Row],[Product ID]],Tabla44[[#This Row],[product_id]],Tabla44[[#This Row],[category]])</f>
        <v>Shoes</v>
      </c>
    </row>
    <row r="174" spans="1:5" x14ac:dyDescent="0.3">
      <c r="A174" t="s">
        <v>8</v>
      </c>
      <c r="B174">
        <v>173</v>
      </c>
      <c r="C174">
        <v>71</v>
      </c>
      <c r="D174" t="str">
        <f>_xlfn.XLOOKUP(Tabla36[[#This Row],[Product ID]],Tabla44[[#This Row],[product_id]],Tabla44[[#This Row],[product_name]])</f>
        <v>Polished Linen Dress</v>
      </c>
      <c r="E174" t="str">
        <f>_xlfn.XLOOKUP(Tabla36[[#This Row],[Product ID]],Tabla44[[#This Row],[product_id]],Tabla44[[#This Row],[category]])</f>
        <v>Dresses</v>
      </c>
    </row>
    <row r="175" spans="1:5" x14ac:dyDescent="0.3">
      <c r="A175" t="s">
        <v>8</v>
      </c>
      <c r="B175">
        <v>174</v>
      </c>
      <c r="C175">
        <v>84</v>
      </c>
      <c r="D175" t="str">
        <f>_xlfn.XLOOKUP(Tabla36[[#This Row],[Product ID]],Tabla44[[#This Row],[product_id]],Tabla44[[#This Row],[product_name]])</f>
        <v>Vintage Ribbed Set</v>
      </c>
      <c r="E175" t="str">
        <f>_xlfn.XLOOKUP(Tabla36[[#This Row],[Product ID]],Tabla44[[#This Row],[product_id]],Tabla44[[#This Row],[category]])</f>
        <v>Sleepwear</v>
      </c>
    </row>
    <row r="176" spans="1:5" x14ac:dyDescent="0.3">
      <c r="A176" t="s">
        <v>8</v>
      </c>
      <c r="B176">
        <v>175</v>
      </c>
      <c r="C176">
        <v>1</v>
      </c>
      <c r="D176" t="str">
        <f>_xlfn.XLOOKUP(Tabla36[[#This Row],[Product ID]],Tabla44[[#This Row],[product_id]],Tabla44[[#This Row],[product_name]])</f>
        <v>Vintage Cotton Tee</v>
      </c>
      <c r="E176" t="str">
        <f>_xlfn.XLOOKUP(Tabla36[[#This Row],[Product ID]],Tabla44[[#This Row],[product_id]],Tabla44[[#This Row],[category]])</f>
        <v>T-Shirts</v>
      </c>
    </row>
    <row r="177" spans="1:5" x14ac:dyDescent="0.3">
      <c r="A177" t="s">
        <v>8</v>
      </c>
      <c r="B177">
        <v>176</v>
      </c>
      <c r="C177">
        <v>2</v>
      </c>
      <c r="D177" t="str">
        <f>_xlfn.XLOOKUP(Tabla36[[#This Row],[Product ID]],Tabla44[[#This Row],[product_id]],Tabla44[[#This Row],[product_name]])</f>
        <v>Polished Ribbed Dress</v>
      </c>
      <c r="E177" t="str">
        <f>_xlfn.XLOOKUP(Tabla36[[#This Row],[Product ID]],Tabla44[[#This Row],[product_id]],Tabla44[[#This Row],[category]])</f>
        <v>Dresses</v>
      </c>
    </row>
    <row r="178" spans="1:5" x14ac:dyDescent="0.3">
      <c r="A178" t="s">
        <v>8</v>
      </c>
      <c r="B178">
        <v>177</v>
      </c>
      <c r="C178">
        <v>10</v>
      </c>
      <c r="D178" t="str">
        <f>_xlfn.XLOOKUP(Tabla36[[#This Row],[Product ID]],Tabla44[[#This Row],[product_id]],Tabla44[[#This Row],[product_name]])</f>
        <v>Vintage Cotton Set</v>
      </c>
      <c r="E178" t="str">
        <f>_xlfn.XLOOKUP(Tabla36[[#This Row],[Product ID]],Tabla44[[#This Row],[product_id]],Tabla44[[#This Row],[category]])</f>
        <v>Sleepwear</v>
      </c>
    </row>
    <row r="179" spans="1:5" x14ac:dyDescent="0.3">
      <c r="A179" t="s">
        <v>8</v>
      </c>
      <c r="B179">
        <v>178</v>
      </c>
      <c r="C179">
        <v>36</v>
      </c>
      <c r="D179" t="str">
        <f>_xlfn.XLOOKUP(Tabla36[[#This Row],[Product ID]],Tabla44[[#This Row],[product_id]],Tabla44[[#This Row],[product_name]])</f>
        <v>Classic Boxy Trousers</v>
      </c>
      <c r="E179" t="str">
        <f>_xlfn.XLOOKUP(Tabla36[[#This Row],[Product ID]],Tabla44[[#This Row],[product_id]],Tabla44[[#This Row],[category]])</f>
        <v>Pants</v>
      </c>
    </row>
    <row r="180" spans="1:5" x14ac:dyDescent="0.3">
      <c r="A180" t="s">
        <v>8</v>
      </c>
      <c r="B180">
        <v>179</v>
      </c>
      <c r="C180">
        <v>71</v>
      </c>
      <c r="D180" t="str">
        <f>_xlfn.XLOOKUP(Tabla36[[#This Row],[Product ID]],Tabla44[[#This Row],[product_id]],Tabla44[[#This Row],[product_name]])</f>
        <v>Vintage Satin Tee</v>
      </c>
      <c r="E180" t="str">
        <f>_xlfn.XLOOKUP(Tabla36[[#This Row],[Product ID]],Tabla44[[#This Row],[product_id]],Tabla44[[#This Row],[category]])</f>
        <v>T-Shirts</v>
      </c>
    </row>
    <row r="181" spans="1:5" x14ac:dyDescent="0.3">
      <c r="A181" t="s">
        <v>8</v>
      </c>
      <c r="B181">
        <v>180</v>
      </c>
      <c r="C181">
        <v>3</v>
      </c>
      <c r="D181" t="str">
        <f>_xlfn.XLOOKUP(Tabla36[[#This Row],[Product ID]],Tabla44[[#This Row],[product_id]],Tabla44[[#This Row],[product_name]])</f>
        <v>Vintage Sleeveless Shoes</v>
      </c>
      <c r="E181" t="str">
        <f>_xlfn.XLOOKUP(Tabla36[[#This Row],[Product ID]],Tabla44[[#This Row],[product_id]],Tabla44[[#This Row],[category]])</f>
        <v>Shoes</v>
      </c>
    </row>
    <row r="182" spans="1:5" x14ac:dyDescent="0.3">
      <c r="A182" t="s">
        <v>8</v>
      </c>
      <c r="B182">
        <v>181</v>
      </c>
      <c r="C182">
        <v>12</v>
      </c>
      <c r="D182" t="str">
        <f>_xlfn.XLOOKUP(Tabla36[[#This Row],[Product ID]],Tabla44[[#This Row],[product_id]],Tabla44[[#This Row],[product_name]])</f>
        <v>Vintage High-Waist Shoes</v>
      </c>
      <c r="E182" t="str">
        <f>_xlfn.XLOOKUP(Tabla36[[#This Row],[Product ID]],Tabla44[[#This Row],[product_id]],Tabla44[[#This Row],[category]])</f>
        <v>Shoes</v>
      </c>
    </row>
    <row r="183" spans="1:5" x14ac:dyDescent="0.3">
      <c r="A183" t="s">
        <v>8</v>
      </c>
      <c r="B183">
        <v>182</v>
      </c>
      <c r="C183">
        <v>79</v>
      </c>
      <c r="D183" t="str">
        <f>_xlfn.XLOOKUP(Tabla36[[#This Row],[Product ID]],Tabla44[[#This Row],[product_id]],Tabla44[[#This Row],[product_name]])</f>
        <v>Vintage Satin Set</v>
      </c>
      <c r="E183" t="str">
        <f>_xlfn.XLOOKUP(Tabla36[[#This Row],[Product ID]],Tabla44[[#This Row],[product_id]],Tabla44[[#This Row],[category]])</f>
        <v>Sleepwear</v>
      </c>
    </row>
    <row r="184" spans="1:5" x14ac:dyDescent="0.3">
      <c r="A184" t="s">
        <v>8</v>
      </c>
      <c r="B184">
        <v>183</v>
      </c>
      <c r="C184">
        <v>81</v>
      </c>
      <c r="D184" t="str">
        <f>_xlfn.XLOOKUP(Tabla36[[#This Row],[Product ID]],Tabla44[[#This Row],[product_id]],Tabla44[[#This Row],[product_name]])</f>
        <v>Vintage Silk Set</v>
      </c>
      <c r="E184" t="str">
        <f>_xlfn.XLOOKUP(Tabla36[[#This Row],[Product ID]],Tabla44[[#This Row],[product_id]],Tabla44[[#This Row],[category]])</f>
        <v>Sleepwear</v>
      </c>
    </row>
    <row r="185" spans="1:5" x14ac:dyDescent="0.3">
      <c r="A185" t="s">
        <v>8</v>
      </c>
      <c r="B185">
        <v>184</v>
      </c>
      <c r="C185">
        <v>36</v>
      </c>
      <c r="D185" t="str">
        <f>_xlfn.XLOOKUP(Tabla36[[#This Row],[Product ID]],Tabla44[[#This Row],[product_id]],Tabla44[[#This Row],[product_name]])</f>
        <v>Vintage Wrap Trousers</v>
      </c>
      <c r="E185" t="str">
        <f>_xlfn.XLOOKUP(Tabla36[[#This Row],[Product ID]],Tabla44[[#This Row],[product_id]],Tabla44[[#This Row],[category]])</f>
        <v>Pants</v>
      </c>
    </row>
    <row r="186" spans="1:5" x14ac:dyDescent="0.3">
      <c r="A186" t="s">
        <v>8</v>
      </c>
      <c r="B186">
        <v>185</v>
      </c>
      <c r="C186">
        <v>18</v>
      </c>
      <c r="D186" t="str">
        <f>_xlfn.XLOOKUP(Tabla36[[#This Row],[Product ID]],Tabla44[[#This Row],[product_id]],Tabla44[[#This Row],[product_name]])</f>
        <v>Vintage Linen Trousers</v>
      </c>
      <c r="E186" t="str">
        <f>_xlfn.XLOOKUP(Tabla36[[#This Row],[Product ID]],Tabla44[[#This Row],[product_id]],Tabla44[[#This Row],[category]])</f>
        <v>Pants</v>
      </c>
    </row>
    <row r="187" spans="1:5" x14ac:dyDescent="0.3">
      <c r="A187" t="s">
        <v>8</v>
      </c>
      <c r="B187">
        <v>186</v>
      </c>
      <c r="C187">
        <v>71</v>
      </c>
      <c r="D187" t="str">
        <f>_xlfn.XLOOKUP(Tabla36[[#This Row],[Product ID]],Tabla44[[#This Row],[product_id]],Tabla44[[#This Row],[product_name]])</f>
        <v>Vintage Boxy Shoes</v>
      </c>
      <c r="E187" t="str">
        <f>_xlfn.XLOOKUP(Tabla36[[#This Row],[Product ID]],Tabla44[[#This Row],[product_id]],Tabla44[[#This Row],[category]])</f>
        <v>Shoes</v>
      </c>
    </row>
    <row r="188" spans="1:5" x14ac:dyDescent="0.3">
      <c r="A188" t="s">
        <v>8</v>
      </c>
      <c r="B188">
        <v>187</v>
      </c>
      <c r="C188">
        <v>46</v>
      </c>
      <c r="D188" t="str">
        <f>_xlfn.XLOOKUP(Tabla36[[#This Row],[Product ID]],Tabla44[[#This Row],[product_id]],Tabla44[[#This Row],[product_name]])</f>
        <v>Vintage Ribbed Trousers</v>
      </c>
      <c r="E188" t="str">
        <f>_xlfn.XLOOKUP(Tabla36[[#This Row],[Product ID]],Tabla44[[#This Row],[product_id]],Tabla44[[#This Row],[category]])</f>
        <v>Pants</v>
      </c>
    </row>
    <row r="189" spans="1:5" x14ac:dyDescent="0.3">
      <c r="A189" t="s">
        <v>8</v>
      </c>
      <c r="B189">
        <v>188</v>
      </c>
      <c r="C189">
        <v>60</v>
      </c>
      <c r="D189" t="str">
        <f>_xlfn.XLOOKUP(Tabla36[[#This Row],[Product ID]],Tabla44[[#This Row],[product_id]],Tabla44[[#This Row],[product_name]])</f>
        <v>Polished Wrap Shoes</v>
      </c>
      <c r="E189" t="str">
        <f>_xlfn.XLOOKUP(Tabla36[[#This Row],[Product ID]],Tabla44[[#This Row],[product_id]],Tabla44[[#This Row],[category]])</f>
        <v>Shoes</v>
      </c>
    </row>
    <row r="190" spans="1:5" x14ac:dyDescent="0.3">
      <c r="A190" t="s">
        <v>8</v>
      </c>
      <c r="B190">
        <v>189</v>
      </c>
      <c r="C190">
        <v>53</v>
      </c>
      <c r="D190" t="str">
        <f>_xlfn.XLOOKUP(Tabla36[[#This Row],[Product ID]],Tabla44[[#This Row],[product_id]],Tabla44[[#This Row],[product_name]])</f>
        <v>Vintage Crew Set</v>
      </c>
      <c r="E190" t="str">
        <f>_xlfn.XLOOKUP(Tabla36[[#This Row],[Product ID]],Tabla44[[#This Row],[product_id]],Tabla44[[#This Row],[category]])</f>
        <v>Sleepwear</v>
      </c>
    </row>
    <row r="191" spans="1:5" x14ac:dyDescent="0.3">
      <c r="A191" t="s">
        <v>8</v>
      </c>
      <c r="B191">
        <v>190</v>
      </c>
      <c r="C191">
        <v>33</v>
      </c>
      <c r="D191" t="str">
        <f>_xlfn.XLOOKUP(Tabla36[[#This Row],[Product ID]],Tabla44[[#This Row],[product_id]],Tabla44[[#This Row],[product_name]])</f>
        <v>Polished Cotton Dress</v>
      </c>
      <c r="E191" t="str">
        <f>_xlfn.XLOOKUP(Tabla36[[#This Row],[Product ID]],Tabla44[[#This Row],[product_id]],Tabla44[[#This Row],[category]])</f>
        <v>Dresses</v>
      </c>
    </row>
    <row r="192" spans="1:5" x14ac:dyDescent="0.3">
      <c r="A192" t="s">
        <v>8</v>
      </c>
      <c r="B192">
        <v>191</v>
      </c>
      <c r="C192">
        <v>88</v>
      </c>
      <c r="D192" t="str">
        <f>_xlfn.XLOOKUP(Tabla36[[#This Row],[Product ID]],Tabla44[[#This Row],[product_id]],Tabla44[[#This Row],[product_name]])</f>
        <v>Polished Satin Dress</v>
      </c>
      <c r="E192" t="str">
        <f>_xlfn.XLOOKUP(Tabla36[[#This Row],[Product ID]],Tabla44[[#This Row],[product_id]],Tabla44[[#This Row],[category]])</f>
        <v>Dresses</v>
      </c>
    </row>
    <row r="193" spans="1:5" x14ac:dyDescent="0.3">
      <c r="A193" t="s">
        <v>8</v>
      </c>
      <c r="B193">
        <v>192</v>
      </c>
      <c r="C193">
        <v>68</v>
      </c>
      <c r="D193" t="str">
        <f>_xlfn.XLOOKUP(Tabla36[[#This Row],[Product ID]],Tabla44[[#This Row],[product_id]],Tabla44[[#This Row],[product_name]])</f>
        <v>Polished Silk Dress</v>
      </c>
      <c r="E193" t="str">
        <f>_xlfn.XLOOKUP(Tabla36[[#This Row],[Product ID]],Tabla44[[#This Row],[product_id]],Tabla44[[#This Row],[category]])</f>
        <v>Dresses</v>
      </c>
    </row>
    <row r="194" spans="1:5" x14ac:dyDescent="0.3">
      <c r="A194" t="s">
        <v>8</v>
      </c>
      <c r="B194">
        <v>193</v>
      </c>
      <c r="C194">
        <v>41</v>
      </c>
      <c r="D194" t="str">
        <f>_xlfn.XLOOKUP(Tabla36[[#This Row],[Product ID]],Tabla44[[#This Row],[product_id]],Tabla44[[#This Row],[product_name]])</f>
        <v>Vintage Silk Tee</v>
      </c>
      <c r="E194" t="str">
        <f>_xlfn.XLOOKUP(Tabla36[[#This Row],[Product ID]],Tabla44[[#This Row],[product_id]],Tabla44[[#This Row],[category]])</f>
        <v>T-Shirts</v>
      </c>
    </row>
    <row r="195" spans="1:5" x14ac:dyDescent="0.3">
      <c r="A195" t="s">
        <v>8</v>
      </c>
      <c r="B195">
        <v>194</v>
      </c>
      <c r="C195">
        <v>97</v>
      </c>
      <c r="D195" t="str">
        <f>_xlfn.XLOOKUP(Tabla36[[#This Row],[Product ID]],Tabla44[[#This Row],[product_id]],Tabla44[[#This Row],[product_name]])</f>
        <v>Vintage Sleeveless Set</v>
      </c>
      <c r="E195" t="str">
        <f>_xlfn.XLOOKUP(Tabla36[[#This Row],[Product ID]],Tabla44[[#This Row],[product_id]],Tabla44[[#This Row],[category]])</f>
        <v>Sleepwear</v>
      </c>
    </row>
    <row r="196" spans="1:5" x14ac:dyDescent="0.3">
      <c r="A196" t="s">
        <v>8</v>
      </c>
      <c r="B196">
        <v>195</v>
      </c>
      <c r="C196">
        <v>2</v>
      </c>
      <c r="D196" t="str">
        <f>_xlfn.XLOOKUP(Tabla36[[#This Row],[Product ID]],Tabla44[[#This Row],[product_id]],Tabla44[[#This Row],[product_name]])</f>
        <v>Vintage Crew Tee</v>
      </c>
      <c r="E196" t="str">
        <f>_xlfn.XLOOKUP(Tabla36[[#This Row],[Product ID]],Tabla44[[#This Row],[product_id]],Tabla44[[#This Row],[category]])</f>
        <v>T-Shirts</v>
      </c>
    </row>
    <row r="197" spans="1:5" x14ac:dyDescent="0.3">
      <c r="A197" t="s">
        <v>8</v>
      </c>
      <c r="B197">
        <v>196</v>
      </c>
      <c r="C197">
        <v>71</v>
      </c>
      <c r="D197" t="str">
        <f>_xlfn.XLOOKUP(Tabla36[[#This Row],[Product ID]],Tabla44[[#This Row],[product_id]],Tabla44[[#This Row],[product_name]])</f>
        <v>Vintage Cotton Trousers</v>
      </c>
      <c r="E197" t="str">
        <f>_xlfn.XLOOKUP(Tabla36[[#This Row],[Product ID]],Tabla44[[#This Row],[product_id]],Tabla44[[#This Row],[category]])</f>
        <v>Pants</v>
      </c>
    </row>
    <row r="198" spans="1:5" x14ac:dyDescent="0.3">
      <c r="A198" t="s">
        <v>8</v>
      </c>
      <c r="B198">
        <v>197</v>
      </c>
      <c r="C198">
        <v>67</v>
      </c>
      <c r="D198" t="str">
        <f>_xlfn.XLOOKUP(Tabla36[[#This Row],[Product ID]],Tabla44[[#This Row],[product_id]],Tabla44[[#This Row],[product_name]])</f>
        <v>Polished Linen Shoes</v>
      </c>
      <c r="E198" t="str">
        <f>_xlfn.XLOOKUP(Tabla36[[#This Row],[Product ID]],Tabla44[[#This Row],[product_id]],Tabla44[[#This Row],[category]])</f>
        <v>Shoes</v>
      </c>
    </row>
    <row r="199" spans="1:5" x14ac:dyDescent="0.3">
      <c r="A199" t="s">
        <v>8</v>
      </c>
      <c r="B199">
        <v>198</v>
      </c>
      <c r="C199">
        <v>61</v>
      </c>
      <c r="D199" t="str">
        <f>_xlfn.XLOOKUP(Tabla36[[#This Row],[Product ID]],Tabla44[[#This Row],[product_id]],Tabla44[[#This Row],[product_name]])</f>
        <v>Polished Crew Dress</v>
      </c>
      <c r="E199" t="str">
        <f>_xlfn.XLOOKUP(Tabla36[[#This Row],[Product ID]],Tabla44[[#This Row],[product_id]],Tabla44[[#This Row],[category]])</f>
        <v>Dresses</v>
      </c>
    </row>
    <row r="200" spans="1:5" x14ac:dyDescent="0.3">
      <c r="A200" t="s">
        <v>8</v>
      </c>
      <c r="B200">
        <v>199</v>
      </c>
      <c r="C200">
        <v>4</v>
      </c>
      <c r="D200" t="str">
        <f>_xlfn.XLOOKUP(Tabla36[[#This Row],[Product ID]],Tabla44[[#This Row],[product_id]],Tabla44[[#This Row],[product_name]])</f>
        <v>Polished Sleeveless Dress</v>
      </c>
      <c r="E200" t="str">
        <f>_xlfn.XLOOKUP(Tabla36[[#This Row],[Product ID]],Tabla44[[#This Row],[product_id]],Tabla44[[#This Row],[category]])</f>
        <v>Dresses</v>
      </c>
    </row>
    <row r="201" spans="1:5" x14ac:dyDescent="0.3">
      <c r="A201" t="s">
        <v>8</v>
      </c>
      <c r="B201">
        <v>200</v>
      </c>
      <c r="C201">
        <v>48</v>
      </c>
      <c r="D201" t="str">
        <f>_xlfn.XLOOKUP(Tabla36[[#This Row],[Product ID]],Tabla44[[#This Row],[product_id]],Tabla44[[#This Row],[product_name]])</f>
        <v>Vintage High-Waist Set</v>
      </c>
      <c r="E201" t="str">
        <f>_xlfn.XLOOKUP(Tabla36[[#This Row],[Product ID]],Tabla44[[#This Row],[product_id]],Tabla44[[#This Row],[category]])</f>
        <v>Sleepwear</v>
      </c>
    </row>
    <row r="202" spans="1:5" x14ac:dyDescent="0.3">
      <c r="A202" t="s">
        <v>8</v>
      </c>
      <c r="B202">
        <v>201</v>
      </c>
      <c r="C202">
        <v>11</v>
      </c>
      <c r="D202" t="str">
        <f>_xlfn.XLOOKUP(Tabla36[[#This Row],[Product ID]],Tabla44[[#This Row],[product_id]],Tabla44[[#This Row],[product_name]])</f>
        <v>Vintage Sleeveless Tee</v>
      </c>
      <c r="E202" t="str">
        <f>_xlfn.XLOOKUP(Tabla36[[#This Row],[Product ID]],Tabla44[[#This Row],[product_id]],Tabla44[[#This Row],[category]])</f>
        <v>T-Shirts</v>
      </c>
    </row>
    <row r="203" spans="1:5" x14ac:dyDescent="0.3">
      <c r="A203" t="s">
        <v>8</v>
      </c>
      <c r="B203">
        <v>202</v>
      </c>
      <c r="C203">
        <v>12</v>
      </c>
      <c r="D203" t="str">
        <f>_xlfn.XLOOKUP(Tabla36[[#This Row],[Product ID]],Tabla44[[#This Row],[product_id]],Tabla44[[#This Row],[product_name]])</f>
        <v>Vintage High-Waist Tee</v>
      </c>
      <c r="E203" t="str">
        <f>_xlfn.XLOOKUP(Tabla36[[#This Row],[Product ID]],Tabla44[[#This Row],[product_id]],Tabla44[[#This Row],[category]])</f>
        <v>T-Shirts</v>
      </c>
    </row>
    <row r="204" spans="1:5" x14ac:dyDescent="0.3">
      <c r="A204" t="s">
        <v>8</v>
      </c>
      <c r="B204">
        <v>203</v>
      </c>
      <c r="C204">
        <v>65</v>
      </c>
      <c r="D204" t="str">
        <f>_xlfn.XLOOKUP(Tabla36[[#This Row],[Product ID]],Tabla44[[#This Row],[product_id]],Tabla44[[#This Row],[product_name]])</f>
        <v>Polished High-Waist Dress</v>
      </c>
      <c r="E204" t="str">
        <f>_xlfn.XLOOKUP(Tabla36[[#This Row],[Product ID]],Tabla44[[#This Row],[product_id]],Tabla44[[#This Row],[category]])</f>
        <v>Dresses</v>
      </c>
    </row>
    <row r="205" spans="1:5" x14ac:dyDescent="0.3">
      <c r="A205" t="s">
        <v>8</v>
      </c>
      <c r="B205">
        <v>204</v>
      </c>
      <c r="C205">
        <v>5</v>
      </c>
      <c r="D205" t="str">
        <f>_xlfn.XLOOKUP(Tabla36[[#This Row],[Product ID]],Tabla44[[#This Row],[product_id]],Tabla44[[#This Row],[product_name]])</f>
        <v>Polished Boxy Dress</v>
      </c>
      <c r="E205" t="str">
        <f>_xlfn.XLOOKUP(Tabla36[[#This Row],[Product ID]],Tabla44[[#This Row],[product_id]],Tabla44[[#This Row],[category]])</f>
        <v>Dresses</v>
      </c>
    </row>
    <row r="206" spans="1:5" x14ac:dyDescent="0.3">
      <c r="A206" t="s">
        <v>8</v>
      </c>
      <c r="B206">
        <v>205</v>
      </c>
      <c r="C206">
        <v>68</v>
      </c>
      <c r="D206" t="str">
        <f>_xlfn.XLOOKUP(Tabla36[[#This Row],[Product ID]],Tabla44[[#This Row],[product_id]],Tabla44[[#This Row],[product_name]])</f>
        <v>Vintage Satin Trousers</v>
      </c>
      <c r="E206" t="str">
        <f>_xlfn.XLOOKUP(Tabla36[[#This Row],[Product ID]],Tabla44[[#This Row],[product_id]],Tabla44[[#This Row],[category]])</f>
        <v>Pants</v>
      </c>
    </row>
    <row r="207" spans="1:5" x14ac:dyDescent="0.3">
      <c r="A207" t="s">
        <v>8</v>
      </c>
      <c r="B207">
        <v>206</v>
      </c>
      <c r="C207">
        <v>11</v>
      </c>
      <c r="D207" t="str">
        <f>_xlfn.XLOOKUP(Tabla36[[#This Row],[Product ID]],Tabla44[[#This Row],[product_id]],Tabla44[[#This Row],[product_name]])</f>
        <v>Vintage Silk Trousers</v>
      </c>
      <c r="E207" t="str">
        <f>_xlfn.XLOOKUP(Tabla36[[#This Row],[Product ID]],Tabla44[[#This Row],[product_id]],Tabla44[[#This Row],[category]])</f>
        <v>Pants</v>
      </c>
    </row>
    <row r="208" spans="1:5" x14ac:dyDescent="0.3">
      <c r="A208" t="s">
        <v>8</v>
      </c>
      <c r="B208">
        <v>207</v>
      </c>
      <c r="C208">
        <v>11</v>
      </c>
      <c r="D208" t="str">
        <f>_xlfn.XLOOKUP(Tabla36[[#This Row],[Product ID]],Tabla44[[#This Row],[product_id]],Tabla44[[#This Row],[product_name]])</f>
        <v>Vintage Boxy Tee</v>
      </c>
      <c r="E208" t="str">
        <f>_xlfn.XLOOKUP(Tabla36[[#This Row],[Product ID]],Tabla44[[#This Row],[product_id]],Tabla44[[#This Row],[category]])</f>
        <v>T-Shirts</v>
      </c>
    </row>
    <row r="209" spans="1:5" x14ac:dyDescent="0.3">
      <c r="A209" t="s">
        <v>8</v>
      </c>
      <c r="B209">
        <v>208</v>
      </c>
      <c r="C209">
        <v>5</v>
      </c>
      <c r="D209" t="str">
        <f>_xlfn.XLOOKUP(Tabla36[[#This Row],[Product ID]],Tabla44[[#This Row],[product_id]],Tabla44[[#This Row],[product_name]])</f>
        <v>Polished Wrap Tee</v>
      </c>
      <c r="E209" t="str">
        <f>_xlfn.XLOOKUP(Tabla36[[#This Row],[Product ID]],Tabla44[[#This Row],[product_id]],Tabla44[[#This Row],[category]])</f>
        <v>T-Shirts</v>
      </c>
    </row>
    <row r="210" spans="1:5" x14ac:dyDescent="0.3">
      <c r="A210" t="s">
        <v>8</v>
      </c>
      <c r="B210">
        <v>209</v>
      </c>
      <c r="C210">
        <v>96</v>
      </c>
      <c r="D210" t="str">
        <f>_xlfn.XLOOKUP(Tabla36[[#This Row],[Product ID]],Tabla44[[#This Row],[product_id]],Tabla44[[#This Row],[product_name]])</f>
        <v>Polished Ribbed Shoes</v>
      </c>
      <c r="E210" t="str">
        <f>_xlfn.XLOOKUP(Tabla36[[#This Row],[Product ID]],Tabla44[[#This Row],[product_id]],Tabla44[[#This Row],[category]])</f>
        <v>Shoes</v>
      </c>
    </row>
    <row r="211" spans="1:5" x14ac:dyDescent="0.3">
      <c r="A211" t="s">
        <v>8</v>
      </c>
      <c r="B211">
        <v>210</v>
      </c>
      <c r="C211">
        <v>3</v>
      </c>
      <c r="D211" t="str">
        <f>_xlfn.XLOOKUP(Tabla36[[#This Row],[Product ID]],Tabla44[[#This Row],[product_id]],Tabla44[[#This Row],[product_name]])</f>
        <v>Vintage Boxy Set</v>
      </c>
      <c r="E211" t="str">
        <f>_xlfn.XLOOKUP(Tabla36[[#This Row],[Product ID]],Tabla44[[#This Row],[product_id]],Tabla44[[#This Row],[category]])</f>
        <v>Sleepwear</v>
      </c>
    </row>
    <row r="212" spans="1:5" x14ac:dyDescent="0.3">
      <c r="A212" t="s">
        <v>8</v>
      </c>
      <c r="B212">
        <v>211</v>
      </c>
      <c r="C212">
        <v>28</v>
      </c>
      <c r="D212" t="str">
        <f>_xlfn.XLOOKUP(Tabla36[[#This Row],[Product ID]],Tabla44[[#This Row],[product_id]],Tabla44[[#This Row],[product_name]])</f>
        <v>Polished Cotton Shoes</v>
      </c>
      <c r="E212" t="str">
        <f>_xlfn.XLOOKUP(Tabla36[[#This Row],[Product ID]],Tabla44[[#This Row],[product_id]],Tabla44[[#This Row],[category]])</f>
        <v>Shoes</v>
      </c>
    </row>
    <row r="213" spans="1:5" x14ac:dyDescent="0.3">
      <c r="A213" t="s">
        <v>8</v>
      </c>
      <c r="B213">
        <v>212</v>
      </c>
      <c r="C213">
        <v>11</v>
      </c>
      <c r="D213" t="str">
        <f>_xlfn.XLOOKUP(Tabla36[[#This Row],[Product ID]],Tabla44[[#This Row],[product_id]],Tabla44[[#This Row],[product_name]])</f>
        <v>Polished Linen Tee</v>
      </c>
      <c r="E213" t="str">
        <f>_xlfn.XLOOKUP(Tabla36[[#This Row],[Product ID]],Tabla44[[#This Row],[product_id]],Tabla44[[#This Row],[category]])</f>
        <v>T-Shirts</v>
      </c>
    </row>
    <row r="214" spans="1:5" x14ac:dyDescent="0.3">
      <c r="A214" t="s">
        <v>8</v>
      </c>
      <c r="B214">
        <v>213</v>
      </c>
      <c r="C214">
        <v>62</v>
      </c>
      <c r="D214" t="str">
        <f>_xlfn.XLOOKUP(Tabla36[[#This Row],[Product ID]],Tabla44[[#This Row],[product_id]],Tabla44[[#This Row],[product_name]])</f>
        <v>Polished Ribbed Tee</v>
      </c>
      <c r="E214" t="str">
        <f>_xlfn.XLOOKUP(Tabla36[[#This Row],[Product ID]],Tabla44[[#This Row],[product_id]],Tabla44[[#This Row],[category]])</f>
        <v>T-Shirts</v>
      </c>
    </row>
    <row r="215" spans="1:5" x14ac:dyDescent="0.3">
      <c r="A215" t="s">
        <v>8</v>
      </c>
      <c r="B215">
        <v>214</v>
      </c>
      <c r="C215">
        <v>53</v>
      </c>
      <c r="D215" t="str">
        <f>_xlfn.XLOOKUP(Tabla36[[#This Row],[Product ID]],Tabla44[[#This Row],[product_id]],Tabla44[[#This Row],[product_name]])</f>
        <v>Vintage Crew Trousers</v>
      </c>
      <c r="E215" t="str">
        <f>_xlfn.XLOOKUP(Tabla36[[#This Row],[Product ID]],Tabla44[[#This Row],[product_id]],Tabla44[[#This Row],[category]])</f>
        <v>Pants</v>
      </c>
    </row>
    <row r="216" spans="1:5" x14ac:dyDescent="0.3">
      <c r="A216" t="s">
        <v>8</v>
      </c>
      <c r="B216">
        <v>215</v>
      </c>
      <c r="C216">
        <v>99</v>
      </c>
      <c r="D216" t="str">
        <f>_xlfn.XLOOKUP(Tabla36[[#This Row],[Product ID]],Tabla44[[#This Row],[product_id]],Tabla44[[#This Row],[product_name]])</f>
        <v>Vintage Sleeveless Trousers</v>
      </c>
      <c r="E216" t="str">
        <f>_xlfn.XLOOKUP(Tabla36[[#This Row],[Product ID]],Tabla44[[#This Row],[product_id]],Tabla44[[#This Row],[category]])</f>
        <v>Pants</v>
      </c>
    </row>
    <row r="217" spans="1:5" x14ac:dyDescent="0.3">
      <c r="A217" t="s">
        <v>8</v>
      </c>
      <c r="B217">
        <v>216</v>
      </c>
      <c r="C217">
        <v>41</v>
      </c>
      <c r="D217" t="str">
        <f>_xlfn.XLOOKUP(Tabla36[[#This Row],[Product ID]],Tabla44[[#This Row],[product_id]],Tabla44[[#This Row],[product_name]])</f>
        <v>Polished Satin Shoes</v>
      </c>
      <c r="E217" t="str">
        <f>_xlfn.XLOOKUP(Tabla36[[#This Row],[Product ID]],Tabla44[[#This Row],[product_id]],Tabla44[[#This Row],[category]])</f>
        <v>Shoes</v>
      </c>
    </row>
    <row r="218" spans="1:5" x14ac:dyDescent="0.3">
      <c r="A218" t="s">
        <v>8</v>
      </c>
      <c r="B218">
        <v>217</v>
      </c>
      <c r="C218">
        <v>79</v>
      </c>
      <c r="D218" t="str">
        <f>_xlfn.XLOOKUP(Tabla36[[#This Row],[Product ID]],Tabla44[[#This Row],[product_id]],Tabla44[[#This Row],[product_name]])</f>
        <v>Polished Cotton Tee</v>
      </c>
      <c r="E218" t="str">
        <f>_xlfn.XLOOKUP(Tabla36[[#This Row],[Product ID]],Tabla44[[#This Row],[product_id]],Tabla44[[#This Row],[category]])</f>
        <v>T-Shirts</v>
      </c>
    </row>
    <row r="219" spans="1:5" x14ac:dyDescent="0.3">
      <c r="A219" t="s">
        <v>8</v>
      </c>
      <c r="B219">
        <v>218</v>
      </c>
      <c r="C219">
        <v>41</v>
      </c>
      <c r="D219" t="str">
        <f>_xlfn.XLOOKUP(Tabla36[[#This Row],[Product ID]],Tabla44[[#This Row],[product_id]],Tabla44[[#This Row],[product_name]])</f>
        <v>Polished Satin Tee</v>
      </c>
      <c r="E219" t="str">
        <f>_xlfn.XLOOKUP(Tabla36[[#This Row],[Product ID]],Tabla44[[#This Row],[product_id]],Tabla44[[#This Row],[category]])</f>
        <v>T-Shirts</v>
      </c>
    </row>
    <row r="220" spans="1:5" x14ac:dyDescent="0.3">
      <c r="A220" t="s">
        <v>8</v>
      </c>
      <c r="B220">
        <v>219</v>
      </c>
      <c r="C220">
        <v>2</v>
      </c>
      <c r="D220" t="str">
        <f>_xlfn.XLOOKUP(Tabla36[[#This Row],[Product ID]],Tabla44[[#This Row],[product_id]],Tabla44[[#This Row],[product_name]])</f>
        <v>Polished Silk Shoes</v>
      </c>
      <c r="E220" t="str">
        <f>_xlfn.XLOOKUP(Tabla36[[#This Row],[Product ID]],Tabla44[[#This Row],[product_id]],Tabla44[[#This Row],[category]])</f>
        <v>Shoes</v>
      </c>
    </row>
    <row r="221" spans="1:5" x14ac:dyDescent="0.3">
      <c r="A221" t="s">
        <v>8</v>
      </c>
      <c r="B221">
        <v>220</v>
      </c>
      <c r="C221">
        <v>64</v>
      </c>
      <c r="D221" t="str">
        <f>_xlfn.XLOOKUP(Tabla36[[#This Row],[Product ID]],Tabla44[[#This Row],[product_id]],Tabla44[[#This Row],[product_name]])</f>
        <v>Polished Wrap Set</v>
      </c>
      <c r="E221" t="str">
        <f>_xlfn.XLOOKUP(Tabla36[[#This Row],[Product ID]],Tabla44[[#This Row],[product_id]],Tabla44[[#This Row],[category]])</f>
        <v>Sleepwear</v>
      </c>
    </row>
    <row r="222" spans="1:5" x14ac:dyDescent="0.3">
      <c r="A222" t="s">
        <v>8</v>
      </c>
      <c r="B222">
        <v>221</v>
      </c>
      <c r="C222">
        <v>84</v>
      </c>
      <c r="D222" t="str">
        <f>_xlfn.XLOOKUP(Tabla36[[#This Row],[Product ID]],Tabla44[[#This Row],[product_id]],Tabla44[[#This Row],[product_name]])</f>
        <v>Polished Silk Tee</v>
      </c>
      <c r="E222" t="str">
        <f>_xlfn.XLOOKUP(Tabla36[[#This Row],[Product ID]],Tabla44[[#This Row],[product_id]],Tabla44[[#This Row],[category]])</f>
        <v>T-Shirts</v>
      </c>
    </row>
    <row r="223" spans="1:5" x14ac:dyDescent="0.3">
      <c r="A223" t="s">
        <v>8</v>
      </c>
      <c r="B223">
        <v>222</v>
      </c>
      <c r="C223">
        <v>65</v>
      </c>
      <c r="D223" t="str">
        <f>_xlfn.XLOOKUP(Tabla36[[#This Row],[Product ID]],Tabla44[[#This Row],[product_id]],Tabla44[[#This Row],[product_name]])</f>
        <v>Relaxed Wrap Dress</v>
      </c>
      <c r="E223" t="str">
        <f>_xlfn.XLOOKUP(Tabla36[[#This Row],[Product ID]],Tabla44[[#This Row],[product_id]],Tabla44[[#This Row],[category]])</f>
        <v>Dresses</v>
      </c>
    </row>
    <row r="224" spans="1:5" x14ac:dyDescent="0.3">
      <c r="A224" t="s">
        <v>8</v>
      </c>
      <c r="B224">
        <v>223</v>
      </c>
      <c r="C224">
        <v>26</v>
      </c>
      <c r="D224" t="str">
        <f>_xlfn.XLOOKUP(Tabla36[[#This Row],[Product ID]],Tabla44[[#This Row],[product_id]],Tabla44[[#This Row],[product_name]])</f>
        <v>Vintage High-Waist Trousers</v>
      </c>
      <c r="E224" t="str">
        <f>_xlfn.XLOOKUP(Tabla36[[#This Row],[Product ID]],Tabla44[[#This Row],[product_id]],Tabla44[[#This Row],[category]])</f>
        <v>Pants</v>
      </c>
    </row>
    <row r="225" spans="1:5" x14ac:dyDescent="0.3">
      <c r="A225" t="s">
        <v>8</v>
      </c>
      <c r="B225">
        <v>224</v>
      </c>
      <c r="C225">
        <v>47</v>
      </c>
      <c r="D225" t="str">
        <f>_xlfn.XLOOKUP(Tabla36[[#This Row],[Product ID]],Tabla44[[#This Row],[product_id]],Tabla44[[#This Row],[product_name]])</f>
        <v>Relaxed Linen Dress</v>
      </c>
      <c r="E225" t="str">
        <f>_xlfn.XLOOKUP(Tabla36[[#This Row],[Product ID]],Tabla44[[#This Row],[product_id]],Tabla44[[#This Row],[category]])</f>
        <v>Dresses</v>
      </c>
    </row>
    <row r="226" spans="1:5" x14ac:dyDescent="0.3">
      <c r="A226" t="s">
        <v>8</v>
      </c>
      <c r="B226">
        <v>225</v>
      </c>
      <c r="C226">
        <v>33</v>
      </c>
      <c r="D226" t="str">
        <f>_xlfn.XLOOKUP(Tabla36[[#This Row],[Product ID]],Tabla44[[#This Row],[product_id]],Tabla44[[#This Row],[product_name]])</f>
        <v>Polished Crew Shoes</v>
      </c>
      <c r="E226" t="str">
        <f>_xlfn.XLOOKUP(Tabla36[[#This Row],[Product ID]],Tabla44[[#This Row],[product_id]],Tabla44[[#This Row],[category]])</f>
        <v>Shoes</v>
      </c>
    </row>
    <row r="227" spans="1:5" x14ac:dyDescent="0.3">
      <c r="A227" t="s">
        <v>8</v>
      </c>
      <c r="B227">
        <v>226</v>
      </c>
      <c r="C227">
        <v>78</v>
      </c>
      <c r="D227" t="str">
        <f>_xlfn.XLOOKUP(Tabla36[[#This Row],[Product ID]],Tabla44[[#This Row],[product_id]],Tabla44[[#This Row],[product_name]])</f>
        <v>Polished Linen Set</v>
      </c>
      <c r="E227" t="str">
        <f>_xlfn.XLOOKUP(Tabla36[[#This Row],[Product ID]],Tabla44[[#This Row],[product_id]],Tabla44[[#This Row],[category]])</f>
        <v>Sleepwear</v>
      </c>
    </row>
    <row r="228" spans="1:5" x14ac:dyDescent="0.3">
      <c r="A228" t="s">
        <v>8</v>
      </c>
      <c r="B228">
        <v>227</v>
      </c>
      <c r="C228">
        <v>79</v>
      </c>
      <c r="D228" t="str">
        <f>_xlfn.XLOOKUP(Tabla36[[#This Row],[Product ID]],Tabla44[[#This Row],[product_id]],Tabla44[[#This Row],[product_name]])</f>
        <v>Polished Crew Tee</v>
      </c>
      <c r="E228" t="str">
        <f>_xlfn.XLOOKUP(Tabla36[[#This Row],[Product ID]],Tabla44[[#This Row],[product_id]],Tabla44[[#This Row],[category]])</f>
        <v>T-Shirts</v>
      </c>
    </row>
    <row r="229" spans="1:5" x14ac:dyDescent="0.3">
      <c r="A229" t="s">
        <v>8</v>
      </c>
      <c r="B229">
        <v>228</v>
      </c>
      <c r="C229">
        <v>95</v>
      </c>
      <c r="D229" t="str">
        <f>_xlfn.XLOOKUP(Tabla36[[#This Row],[Product ID]],Tabla44[[#This Row],[product_id]],Tabla44[[#This Row],[product_name]])</f>
        <v>Vintage Boxy Trousers</v>
      </c>
      <c r="E229" t="str">
        <f>_xlfn.XLOOKUP(Tabla36[[#This Row],[Product ID]],Tabla44[[#This Row],[product_id]],Tabla44[[#This Row],[category]])</f>
        <v>Pants</v>
      </c>
    </row>
    <row r="230" spans="1:5" x14ac:dyDescent="0.3">
      <c r="A230" t="s">
        <v>8</v>
      </c>
      <c r="B230">
        <v>229</v>
      </c>
      <c r="C230">
        <v>20</v>
      </c>
      <c r="D230" t="str">
        <f>_xlfn.XLOOKUP(Tabla36[[#This Row],[Product ID]],Tabla44[[#This Row],[product_id]],Tabla44[[#This Row],[product_name]])</f>
        <v>Polished Sleeveless Shoes</v>
      </c>
      <c r="E230" t="str">
        <f>_xlfn.XLOOKUP(Tabla36[[#This Row],[Product ID]],Tabla44[[#This Row],[product_id]],Tabla44[[#This Row],[category]])</f>
        <v>Shoes</v>
      </c>
    </row>
    <row r="231" spans="1:5" x14ac:dyDescent="0.3">
      <c r="A231" t="s">
        <v>8</v>
      </c>
      <c r="B231">
        <v>230</v>
      </c>
      <c r="C231">
        <v>25</v>
      </c>
      <c r="D231" t="str">
        <f>_xlfn.XLOOKUP(Tabla36[[#This Row],[Product ID]],Tabla44[[#This Row],[product_id]],Tabla44[[#This Row],[product_name]])</f>
        <v>Polished Ribbed Set</v>
      </c>
      <c r="E231" t="str">
        <f>_xlfn.XLOOKUP(Tabla36[[#This Row],[Product ID]],Tabla44[[#This Row],[product_id]],Tabla44[[#This Row],[category]])</f>
        <v>Sleepwear</v>
      </c>
    </row>
    <row r="232" spans="1:5" x14ac:dyDescent="0.3">
      <c r="A232" t="s">
        <v>8</v>
      </c>
      <c r="B232">
        <v>231</v>
      </c>
      <c r="C232">
        <v>3</v>
      </c>
      <c r="D232" t="str">
        <f>_xlfn.XLOOKUP(Tabla36[[#This Row],[Product ID]],Tabla44[[#This Row],[product_id]],Tabla44[[#This Row],[product_name]])</f>
        <v>Polished High-Waist Shoes</v>
      </c>
      <c r="E232" t="str">
        <f>_xlfn.XLOOKUP(Tabla36[[#This Row],[Product ID]],Tabla44[[#This Row],[product_id]],Tabla44[[#This Row],[category]])</f>
        <v>Shoes</v>
      </c>
    </row>
    <row r="233" spans="1:5" x14ac:dyDescent="0.3">
      <c r="A233" t="s">
        <v>8</v>
      </c>
      <c r="B233">
        <v>232</v>
      </c>
      <c r="C233">
        <v>68</v>
      </c>
      <c r="D233" t="str">
        <f>_xlfn.XLOOKUP(Tabla36[[#This Row],[Product ID]],Tabla44[[#This Row],[product_id]],Tabla44[[#This Row],[product_name]])</f>
        <v>Polished Boxy Shoes</v>
      </c>
      <c r="E233" t="str">
        <f>_xlfn.XLOOKUP(Tabla36[[#This Row],[Product ID]],Tabla44[[#This Row],[product_id]],Tabla44[[#This Row],[category]])</f>
        <v>Shoes</v>
      </c>
    </row>
    <row r="234" spans="1:5" x14ac:dyDescent="0.3">
      <c r="A234" t="s">
        <v>8</v>
      </c>
      <c r="B234">
        <v>233</v>
      </c>
      <c r="C234">
        <v>79</v>
      </c>
      <c r="D234" t="str">
        <f>_xlfn.XLOOKUP(Tabla36[[#This Row],[Product ID]],Tabla44[[#This Row],[product_id]],Tabla44[[#This Row],[product_name]])</f>
        <v>Relaxed Wrap Shoes</v>
      </c>
      <c r="E234" t="str">
        <f>_xlfn.XLOOKUP(Tabla36[[#This Row],[Product ID]],Tabla44[[#This Row],[product_id]],Tabla44[[#This Row],[category]])</f>
        <v>Shoes</v>
      </c>
    </row>
    <row r="235" spans="1:5" x14ac:dyDescent="0.3">
      <c r="A235" t="s">
        <v>8</v>
      </c>
      <c r="B235">
        <v>234</v>
      </c>
      <c r="C235">
        <v>5</v>
      </c>
      <c r="D235" t="str">
        <f>_xlfn.XLOOKUP(Tabla36[[#This Row],[Product ID]],Tabla44[[#This Row],[product_id]],Tabla44[[#This Row],[product_name]])</f>
        <v>Polished Sleeveless Tee</v>
      </c>
      <c r="E235" t="str">
        <f>_xlfn.XLOOKUP(Tabla36[[#This Row],[Product ID]],Tabla44[[#This Row],[product_id]],Tabla44[[#This Row],[category]])</f>
        <v>T-Shirts</v>
      </c>
    </row>
    <row r="236" spans="1:5" x14ac:dyDescent="0.3">
      <c r="A236" t="s">
        <v>8</v>
      </c>
      <c r="B236">
        <v>235</v>
      </c>
      <c r="C236">
        <v>12</v>
      </c>
      <c r="D236" t="str">
        <f>_xlfn.XLOOKUP(Tabla36[[#This Row],[Product ID]],Tabla44[[#This Row],[product_id]],Tabla44[[#This Row],[product_name]])</f>
        <v>Polished Cotton Set</v>
      </c>
      <c r="E236" t="str">
        <f>_xlfn.XLOOKUP(Tabla36[[#This Row],[Product ID]],Tabla44[[#This Row],[product_id]],Tabla44[[#This Row],[category]])</f>
        <v>Sleepwear</v>
      </c>
    </row>
    <row r="237" spans="1:5" x14ac:dyDescent="0.3">
      <c r="A237" t="s">
        <v>8</v>
      </c>
      <c r="B237">
        <v>236</v>
      </c>
      <c r="C237">
        <v>29</v>
      </c>
      <c r="D237" t="str">
        <f>_xlfn.XLOOKUP(Tabla36[[#This Row],[Product ID]],Tabla44[[#This Row],[product_id]],Tabla44[[#This Row],[product_name]])</f>
        <v>Relaxed Linen Shoes</v>
      </c>
      <c r="E237" t="str">
        <f>_xlfn.XLOOKUP(Tabla36[[#This Row],[Product ID]],Tabla44[[#This Row],[product_id]],Tabla44[[#This Row],[category]])</f>
        <v>Shoes</v>
      </c>
    </row>
    <row r="238" spans="1:5" x14ac:dyDescent="0.3">
      <c r="A238" t="s">
        <v>8</v>
      </c>
      <c r="B238">
        <v>237</v>
      </c>
      <c r="C238">
        <v>68</v>
      </c>
      <c r="D238" t="str">
        <f>_xlfn.XLOOKUP(Tabla36[[#This Row],[Product ID]],Tabla44[[#This Row],[product_id]],Tabla44[[#This Row],[product_name]])</f>
        <v>Relaxed Ribbed Dress</v>
      </c>
      <c r="E238" t="str">
        <f>_xlfn.XLOOKUP(Tabla36[[#This Row],[Product ID]],Tabla44[[#This Row],[product_id]],Tabla44[[#This Row],[category]])</f>
        <v>Dresses</v>
      </c>
    </row>
    <row r="239" spans="1:5" x14ac:dyDescent="0.3">
      <c r="A239" t="s">
        <v>8</v>
      </c>
      <c r="B239">
        <v>238</v>
      </c>
      <c r="C239">
        <v>45</v>
      </c>
      <c r="D239" t="str">
        <f>_xlfn.XLOOKUP(Tabla36[[#This Row],[Product ID]],Tabla44[[#This Row],[product_id]],Tabla44[[#This Row],[product_name]])</f>
        <v>Polished High-Waist Tee</v>
      </c>
      <c r="E239" t="str">
        <f>_xlfn.XLOOKUP(Tabla36[[#This Row],[Product ID]],Tabla44[[#This Row],[product_id]],Tabla44[[#This Row],[category]])</f>
        <v>T-Shirts</v>
      </c>
    </row>
    <row r="240" spans="1:5" x14ac:dyDescent="0.3">
      <c r="A240" t="s">
        <v>8</v>
      </c>
      <c r="B240">
        <v>239</v>
      </c>
      <c r="C240">
        <v>28</v>
      </c>
      <c r="D240" t="str">
        <f>_xlfn.XLOOKUP(Tabla36[[#This Row],[Product ID]],Tabla44[[#This Row],[product_id]],Tabla44[[#This Row],[product_name]])</f>
        <v>Polished Wrap Trousers</v>
      </c>
      <c r="E240" t="str">
        <f>_xlfn.XLOOKUP(Tabla36[[#This Row],[Product ID]],Tabla44[[#This Row],[product_id]],Tabla44[[#This Row],[category]])</f>
        <v>Pants</v>
      </c>
    </row>
    <row r="241" spans="1:5" x14ac:dyDescent="0.3">
      <c r="A241" t="s">
        <v>8</v>
      </c>
      <c r="B241">
        <v>240</v>
      </c>
      <c r="C241">
        <v>99</v>
      </c>
      <c r="D241" t="str">
        <f>_xlfn.XLOOKUP(Tabla36[[#This Row],[Product ID]],Tabla44[[#This Row],[product_id]],Tabla44[[#This Row],[product_name]])</f>
        <v>Polished Linen Trousers</v>
      </c>
      <c r="E241" t="str">
        <f>_xlfn.XLOOKUP(Tabla36[[#This Row],[Product ID]],Tabla44[[#This Row],[product_id]],Tabla44[[#This Row],[category]])</f>
        <v>Pants</v>
      </c>
    </row>
    <row r="242" spans="1:5" x14ac:dyDescent="0.3">
      <c r="A242" t="s">
        <v>8</v>
      </c>
      <c r="B242">
        <v>241</v>
      </c>
      <c r="C242">
        <v>76</v>
      </c>
      <c r="D242" t="str">
        <f>_xlfn.XLOOKUP(Tabla36[[#This Row],[Product ID]],Tabla44[[#This Row],[product_id]],Tabla44[[#This Row],[product_name]])</f>
        <v>Polished Ribbed Trousers</v>
      </c>
      <c r="E242" t="str">
        <f>_xlfn.XLOOKUP(Tabla36[[#This Row],[Product ID]],Tabla44[[#This Row],[product_id]],Tabla44[[#This Row],[category]])</f>
        <v>Pants</v>
      </c>
    </row>
    <row r="243" spans="1:5" x14ac:dyDescent="0.3">
      <c r="A243" t="s">
        <v>8</v>
      </c>
      <c r="B243">
        <v>242</v>
      </c>
      <c r="C243">
        <v>28</v>
      </c>
      <c r="D243" t="str">
        <f>_xlfn.XLOOKUP(Tabla36[[#This Row],[Product ID]],Tabla44[[#This Row],[product_id]],Tabla44[[#This Row],[product_name]])</f>
        <v>Relaxed Ribbed Shoes</v>
      </c>
      <c r="E243" t="str">
        <f>_xlfn.XLOOKUP(Tabla36[[#This Row],[Product ID]],Tabla44[[#This Row],[product_id]],Tabla44[[#This Row],[category]])</f>
        <v>Shoes</v>
      </c>
    </row>
    <row r="244" spans="1:5" x14ac:dyDescent="0.3">
      <c r="A244" t="s">
        <v>8</v>
      </c>
      <c r="B244">
        <v>243</v>
      </c>
      <c r="C244">
        <v>3</v>
      </c>
      <c r="D244" t="str">
        <f>_xlfn.XLOOKUP(Tabla36[[#This Row],[Product ID]],Tabla44[[#This Row],[product_id]],Tabla44[[#This Row],[product_name]])</f>
        <v>Polished Satin Set</v>
      </c>
      <c r="E244" t="str">
        <f>_xlfn.XLOOKUP(Tabla36[[#This Row],[Product ID]],Tabla44[[#This Row],[product_id]],Tabla44[[#This Row],[category]])</f>
        <v>Sleepwear</v>
      </c>
    </row>
    <row r="245" spans="1:5" x14ac:dyDescent="0.3">
      <c r="A245" t="s">
        <v>8</v>
      </c>
      <c r="B245">
        <v>244</v>
      </c>
      <c r="C245">
        <v>80</v>
      </c>
      <c r="D245" t="str">
        <f>_xlfn.XLOOKUP(Tabla36[[#This Row],[Product ID]],Tabla44[[#This Row],[product_id]],Tabla44[[#This Row],[product_name]])</f>
        <v>Relaxed Cotton Shoes</v>
      </c>
      <c r="E245" t="str">
        <f>_xlfn.XLOOKUP(Tabla36[[#This Row],[Product ID]],Tabla44[[#This Row],[product_id]],Tabla44[[#This Row],[category]])</f>
        <v>Shoes</v>
      </c>
    </row>
    <row r="246" spans="1:5" x14ac:dyDescent="0.3">
      <c r="A246" t="s">
        <v>8</v>
      </c>
      <c r="B246">
        <v>245</v>
      </c>
      <c r="C246">
        <v>4</v>
      </c>
      <c r="D246" t="str">
        <f>_xlfn.XLOOKUP(Tabla36[[#This Row],[Product ID]],Tabla44[[#This Row],[product_id]],Tabla44[[#This Row],[product_name]])</f>
        <v>Relaxed Cotton Dress</v>
      </c>
      <c r="E246" t="str">
        <f>_xlfn.XLOOKUP(Tabla36[[#This Row],[Product ID]],Tabla44[[#This Row],[product_id]],Tabla44[[#This Row],[category]])</f>
        <v>Dresses</v>
      </c>
    </row>
    <row r="247" spans="1:5" x14ac:dyDescent="0.3">
      <c r="A247" t="s">
        <v>8</v>
      </c>
      <c r="B247">
        <v>246</v>
      </c>
      <c r="C247">
        <v>42</v>
      </c>
      <c r="D247" t="str">
        <f>_xlfn.XLOOKUP(Tabla36[[#This Row],[Product ID]],Tabla44[[#This Row],[product_id]],Tabla44[[#This Row],[product_name]])</f>
        <v>Relaxed Satin Dress</v>
      </c>
      <c r="E247" t="str">
        <f>_xlfn.XLOOKUP(Tabla36[[#This Row],[Product ID]],Tabla44[[#This Row],[product_id]],Tabla44[[#This Row],[category]])</f>
        <v>Dresses</v>
      </c>
    </row>
    <row r="248" spans="1:5" x14ac:dyDescent="0.3">
      <c r="A248" t="s">
        <v>8</v>
      </c>
      <c r="B248">
        <v>247</v>
      </c>
      <c r="C248">
        <v>49</v>
      </c>
      <c r="D248" t="str">
        <f>_xlfn.XLOOKUP(Tabla36[[#This Row],[Product ID]],Tabla44[[#This Row],[product_id]],Tabla44[[#This Row],[product_name]])</f>
        <v>Polished Cotton Trousers</v>
      </c>
      <c r="E248" t="str">
        <f>_xlfn.XLOOKUP(Tabla36[[#This Row],[Product ID]],Tabla44[[#This Row],[product_id]],Tabla44[[#This Row],[category]])</f>
        <v>Pants</v>
      </c>
    </row>
    <row r="249" spans="1:5" x14ac:dyDescent="0.3">
      <c r="A249" t="s">
        <v>8</v>
      </c>
      <c r="B249">
        <v>248</v>
      </c>
      <c r="C249">
        <v>48</v>
      </c>
      <c r="D249" t="str">
        <f>_xlfn.XLOOKUP(Tabla36[[#This Row],[Product ID]],Tabla44[[#This Row],[product_id]],Tabla44[[#This Row],[product_name]])</f>
        <v>Polished Boxy Tee</v>
      </c>
      <c r="E249" t="str">
        <f>_xlfn.XLOOKUP(Tabla36[[#This Row],[Product ID]],Tabla44[[#This Row],[product_id]],Tabla44[[#This Row],[category]])</f>
        <v>T-Shirts</v>
      </c>
    </row>
    <row r="250" spans="1:5" x14ac:dyDescent="0.3">
      <c r="A250" t="s">
        <v>8</v>
      </c>
      <c r="B250">
        <v>249</v>
      </c>
      <c r="C250">
        <v>91</v>
      </c>
      <c r="D250" t="str">
        <f>_xlfn.XLOOKUP(Tabla36[[#This Row],[Product ID]],Tabla44[[#This Row],[product_id]],Tabla44[[#This Row],[product_name]])</f>
        <v>Polished Silk Set</v>
      </c>
      <c r="E250" t="str">
        <f>_xlfn.XLOOKUP(Tabla36[[#This Row],[Product ID]],Tabla44[[#This Row],[product_id]],Tabla44[[#This Row],[category]])</f>
        <v>Sleepwear</v>
      </c>
    </row>
    <row r="251" spans="1:5" x14ac:dyDescent="0.3">
      <c r="A251" t="s">
        <v>8</v>
      </c>
      <c r="B251">
        <v>250</v>
      </c>
      <c r="C251">
        <v>10</v>
      </c>
      <c r="D251" t="str">
        <f>_xlfn.XLOOKUP(Tabla36[[#This Row],[Product ID]],Tabla44[[#This Row],[product_id]],Tabla44[[#This Row],[product_name]])</f>
        <v>Relaxed Satin Shoes</v>
      </c>
      <c r="E251" t="str">
        <f>_xlfn.XLOOKUP(Tabla36[[#This Row],[Product ID]],Tabla44[[#This Row],[product_id]],Tabla44[[#This Row],[category]])</f>
        <v>Shoes</v>
      </c>
    </row>
    <row r="252" spans="1:5" x14ac:dyDescent="0.3">
      <c r="A252" t="s">
        <v>8</v>
      </c>
      <c r="B252">
        <v>251</v>
      </c>
      <c r="C252">
        <v>20</v>
      </c>
      <c r="D252" t="str">
        <f>_xlfn.XLOOKUP(Tabla36[[#This Row],[Product ID]],Tabla44[[#This Row],[product_id]],Tabla44[[#This Row],[product_name]])</f>
        <v>Relaxed Wrap Tee</v>
      </c>
      <c r="E252" t="str">
        <f>_xlfn.XLOOKUP(Tabla36[[#This Row],[Product ID]],Tabla44[[#This Row],[product_id]],Tabla44[[#This Row],[category]])</f>
        <v>T-Shirts</v>
      </c>
    </row>
    <row r="253" spans="1:5" x14ac:dyDescent="0.3">
      <c r="A253" t="s">
        <v>8</v>
      </c>
      <c r="B253">
        <v>252</v>
      </c>
      <c r="C253">
        <v>66</v>
      </c>
      <c r="D253" t="str">
        <f>_xlfn.XLOOKUP(Tabla36[[#This Row],[Product ID]],Tabla44[[#This Row],[product_id]],Tabla44[[#This Row],[product_name]])</f>
        <v>Relaxed Linen Tee</v>
      </c>
      <c r="E253" t="str">
        <f>_xlfn.XLOOKUP(Tabla36[[#This Row],[Product ID]],Tabla44[[#This Row],[product_id]],Tabla44[[#This Row],[category]])</f>
        <v>T-Shirts</v>
      </c>
    </row>
    <row r="254" spans="1:5" x14ac:dyDescent="0.3">
      <c r="A254" t="s">
        <v>8</v>
      </c>
      <c r="B254">
        <v>253</v>
      </c>
      <c r="C254">
        <v>98</v>
      </c>
      <c r="D254" t="str">
        <f>_xlfn.XLOOKUP(Tabla36[[#This Row],[Product ID]],Tabla44[[#This Row],[product_id]],Tabla44[[#This Row],[product_name]])</f>
        <v>Relaxed Ribbed Tee</v>
      </c>
      <c r="E254" t="str">
        <f>_xlfn.XLOOKUP(Tabla36[[#This Row],[Product ID]],Tabla44[[#This Row],[product_id]],Tabla44[[#This Row],[category]])</f>
        <v>T-Shirts</v>
      </c>
    </row>
    <row r="255" spans="1:5" x14ac:dyDescent="0.3">
      <c r="A255" t="s">
        <v>8</v>
      </c>
      <c r="B255">
        <v>254</v>
      </c>
      <c r="C255">
        <v>59</v>
      </c>
      <c r="D255" t="str">
        <f>_xlfn.XLOOKUP(Tabla36[[#This Row],[Product ID]],Tabla44[[#This Row],[product_id]],Tabla44[[#This Row],[product_name]])</f>
        <v>Relaxed Silk Shoes</v>
      </c>
      <c r="E255" t="str">
        <f>_xlfn.XLOOKUP(Tabla36[[#This Row],[Product ID]],Tabla44[[#This Row],[product_id]],Tabla44[[#This Row],[category]])</f>
        <v>Shoes</v>
      </c>
    </row>
    <row r="256" spans="1:5" x14ac:dyDescent="0.3">
      <c r="A256" t="s">
        <v>8</v>
      </c>
      <c r="B256">
        <v>255</v>
      </c>
      <c r="C256">
        <v>1</v>
      </c>
      <c r="D256" t="str">
        <f>_xlfn.XLOOKUP(Tabla36[[#This Row],[Product ID]],Tabla44[[#This Row],[product_id]],Tabla44[[#This Row],[product_name]])</f>
        <v>Polished Satin Trousers</v>
      </c>
      <c r="E256" t="str">
        <f>_xlfn.XLOOKUP(Tabla36[[#This Row],[Product ID]],Tabla44[[#This Row],[product_id]],Tabla44[[#This Row],[category]])</f>
        <v>Pants</v>
      </c>
    </row>
    <row r="257" spans="1:5" x14ac:dyDescent="0.3">
      <c r="A257" t="s">
        <v>8</v>
      </c>
      <c r="B257">
        <v>256</v>
      </c>
      <c r="C257">
        <v>40</v>
      </c>
      <c r="D257" t="str">
        <f>_xlfn.XLOOKUP(Tabla36[[#This Row],[Product ID]],Tabla44[[#This Row],[product_id]],Tabla44[[#This Row],[product_name]])</f>
        <v>Polished Crew Set</v>
      </c>
      <c r="E257" t="str">
        <f>_xlfn.XLOOKUP(Tabla36[[#This Row],[Product ID]],Tabla44[[#This Row],[product_id]],Tabla44[[#This Row],[category]])</f>
        <v>Sleepwear</v>
      </c>
    </row>
    <row r="258" spans="1:5" x14ac:dyDescent="0.3">
      <c r="A258" t="s">
        <v>8</v>
      </c>
      <c r="B258">
        <v>257</v>
      </c>
      <c r="C258">
        <v>51</v>
      </c>
      <c r="D258" t="str">
        <f>_xlfn.XLOOKUP(Tabla36[[#This Row],[Product ID]],Tabla44[[#This Row],[product_id]],Tabla44[[#This Row],[product_name]])</f>
        <v>Relaxed Crew Shoes</v>
      </c>
      <c r="E258" t="str">
        <f>_xlfn.XLOOKUP(Tabla36[[#This Row],[Product ID]],Tabla44[[#This Row],[product_id]],Tabla44[[#This Row],[category]])</f>
        <v>Shoes</v>
      </c>
    </row>
    <row r="259" spans="1:5" x14ac:dyDescent="0.3">
      <c r="A259" t="s">
        <v>8</v>
      </c>
      <c r="B259">
        <v>258</v>
      </c>
      <c r="C259">
        <v>16</v>
      </c>
      <c r="D259" t="str">
        <f>_xlfn.XLOOKUP(Tabla36[[#This Row],[Product ID]],Tabla44[[#This Row],[product_id]],Tabla44[[#This Row],[product_name]])</f>
        <v>Relaxed Sleeveless Shoes</v>
      </c>
      <c r="E259" t="str">
        <f>_xlfn.XLOOKUP(Tabla36[[#This Row],[Product ID]],Tabla44[[#This Row],[product_id]],Tabla44[[#This Row],[category]])</f>
        <v>Shoes</v>
      </c>
    </row>
    <row r="260" spans="1:5" x14ac:dyDescent="0.3">
      <c r="A260" t="s">
        <v>8</v>
      </c>
      <c r="B260">
        <v>259</v>
      </c>
      <c r="C260">
        <v>25</v>
      </c>
      <c r="D260" t="str">
        <f>_xlfn.XLOOKUP(Tabla36[[#This Row],[Product ID]],Tabla44[[#This Row],[product_id]],Tabla44[[#This Row],[product_name]])</f>
        <v>Polished Silk Trousers</v>
      </c>
      <c r="E260" t="str">
        <f>_xlfn.XLOOKUP(Tabla36[[#This Row],[Product ID]],Tabla44[[#This Row],[product_id]],Tabla44[[#This Row],[category]])</f>
        <v>Pants</v>
      </c>
    </row>
    <row r="261" spans="1:5" x14ac:dyDescent="0.3">
      <c r="A261" t="s">
        <v>8</v>
      </c>
      <c r="B261">
        <v>260</v>
      </c>
      <c r="C261">
        <v>99</v>
      </c>
      <c r="D261" t="str">
        <f>_xlfn.XLOOKUP(Tabla36[[#This Row],[Product ID]],Tabla44[[#This Row],[product_id]],Tabla44[[#This Row],[product_name]])</f>
        <v>Relaxed Silk Dress</v>
      </c>
      <c r="E261" t="str">
        <f>_xlfn.XLOOKUP(Tabla36[[#This Row],[Product ID]],Tabla44[[#This Row],[product_id]],Tabla44[[#This Row],[category]])</f>
        <v>Dresses</v>
      </c>
    </row>
    <row r="262" spans="1:5" x14ac:dyDescent="0.3">
      <c r="A262" t="s">
        <v>8</v>
      </c>
      <c r="B262">
        <v>261</v>
      </c>
      <c r="C262">
        <v>69</v>
      </c>
      <c r="D262" t="str">
        <f>_xlfn.XLOOKUP(Tabla36[[#This Row],[Product ID]],Tabla44[[#This Row],[product_id]],Tabla44[[#This Row],[product_name]])</f>
        <v>Relaxed Cotton Tee</v>
      </c>
      <c r="E262" t="str">
        <f>_xlfn.XLOOKUP(Tabla36[[#This Row],[Product ID]],Tabla44[[#This Row],[product_id]],Tabla44[[#This Row],[category]])</f>
        <v>T-Shirts</v>
      </c>
    </row>
    <row r="263" spans="1:5" x14ac:dyDescent="0.3">
      <c r="A263" t="s">
        <v>8</v>
      </c>
      <c r="B263">
        <v>262</v>
      </c>
      <c r="C263">
        <v>11</v>
      </c>
      <c r="D263" t="str">
        <f>_xlfn.XLOOKUP(Tabla36[[#This Row],[Product ID]],Tabla44[[#This Row],[product_id]],Tabla44[[#This Row],[product_name]])</f>
        <v>Polished Sleeveless Set</v>
      </c>
      <c r="E263" t="str">
        <f>_xlfn.XLOOKUP(Tabla36[[#This Row],[Product ID]],Tabla44[[#This Row],[product_id]],Tabla44[[#This Row],[category]])</f>
        <v>Sleepwear</v>
      </c>
    </row>
    <row r="264" spans="1:5" x14ac:dyDescent="0.3">
      <c r="A264" t="s">
        <v>8</v>
      </c>
      <c r="B264">
        <v>263</v>
      </c>
      <c r="C264">
        <v>10</v>
      </c>
      <c r="D264" t="str">
        <f>_xlfn.XLOOKUP(Tabla36[[#This Row],[Product ID]],Tabla44[[#This Row],[product_id]],Tabla44[[#This Row],[product_name]])</f>
        <v>Relaxed High-Waist Shoes</v>
      </c>
      <c r="E264" t="str">
        <f>_xlfn.XLOOKUP(Tabla36[[#This Row],[Product ID]],Tabla44[[#This Row],[product_id]],Tabla44[[#This Row],[category]])</f>
        <v>Shoes</v>
      </c>
    </row>
    <row r="265" spans="1:5" x14ac:dyDescent="0.3">
      <c r="A265" t="s">
        <v>8</v>
      </c>
      <c r="B265">
        <v>264</v>
      </c>
      <c r="C265">
        <v>57</v>
      </c>
      <c r="D265" t="str">
        <f>_xlfn.XLOOKUP(Tabla36[[#This Row],[Product ID]],Tabla44[[#This Row],[product_id]],Tabla44[[#This Row],[product_name]])</f>
        <v>Relaxed Satin Tee</v>
      </c>
      <c r="E265" t="str">
        <f>_xlfn.XLOOKUP(Tabla36[[#This Row],[Product ID]],Tabla44[[#This Row],[product_id]],Tabla44[[#This Row],[category]])</f>
        <v>T-Shirts</v>
      </c>
    </row>
    <row r="266" spans="1:5" x14ac:dyDescent="0.3">
      <c r="A266" t="s">
        <v>8</v>
      </c>
      <c r="B266">
        <v>265</v>
      </c>
      <c r="C266">
        <v>21</v>
      </c>
      <c r="D266" t="str">
        <f>_xlfn.XLOOKUP(Tabla36[[#This Row],[Product ID]],Tabla44[[#This Row],[product_id]],Tabla44[[#This Row],[product_name]])</f>
        <v>Relaxed Boxy Shoes</v>
      </c>
      <c r="E266" t="str">
        <f>_xlfn.XLOOKUP(Tabla36[[#This Row],[Product ID]],Tabla44[[#This Row],[product_id]],Tabla44[[#This Row],[category]])</f>
        <v>Shoes</v>
      </c>
    </row>
    <row r="267" spans="1:5" x14ac:dyDescent="0.3">
      <c r="A267" t="s">
        <v>8</v>
      </c>
      <c r="B267">
        <v>266</v>
      </c>
      <c r="C267">
        <v>78</v>
      </c>
      <c r="D267" t="str">
        <f>_xlfn.XLOOKUP(Tabla36[[#This Row],[Product ID]],Tabla44[[#This Row],[product_id]],Tabla44[[#This Row],[product_name]])</f>
        <v>Polished Crew Trousers</v>
      </c>
      <c r="E267" t="str">
        <f>_xlfn.XLOOKUP(Tabla36[[#This Row],[Product ID]],Tabla44[[#This Row],[product_id]],Tabla44[[#This Row],[category]])</f>
        <v>Pants</v>
      </c>
    </row>
    <row r="268" spans="1:5" x14ac:dyDescent="0.3">
      <c r="A268" t="s">
        <v>8</v>
      </c>
      <c r="B268">
        <v>267</v>
      </c>
      <c r="C268">
        <v>46</v>
      </c>
      <c r="D268" t="str">
        <f>_xlfn.XLOOKUP(Tabla36[[#This Row],[Product ID]],Tabla44[[#This Row],[product_id]],Tabla44[[#This Row],[product_name]])</f>
        <v>Polished High-Waist Set</v>
      </c>
      <c r="E268" t="str">
        <f>_xlfn.XLOOKUP(Tabla36[[#This Row],[Product ID]],Tabla44[[#This Row],[product_id]],Tabla44[[#This Row],[category]])</f>
        <v>Sleepwear</v>
      </c>
    </row>
    <row r="269" spans="1:5" x14ac:dyDescent="0.3">
      <c r="A269" t="s">
        <v>8</v>
      </c>
      <c r="B269">
        <v>268</v>
      </c>
      <c r="C269">
        <v>41</v>
      </c>
      <c r="D269" t="str">
        <f>_xlfn.XLOOKUP(Tabla36[[#This Row],[Product ID]],Tabla44[[#This Row],[product_id]],Tabla44[[#This Row],[product_name]])</f>
        <v>Polished Boxy Set</v>
      </c>
      <c r="E269" t="str">
        <f>_xlfn.XLOOKUP(Tabla36[[#This Row],[Product ID]],Tabla44[[#This Row],[product_id]],Tabla44[[#This Row],[category]])</f>
        <v>Sleepwear</v>
      </c>
    </row>
    <row r="270" spans="1:5" x14ac:dyDescent="0.3">
      <c r="A270" t="s">
        <v>8</v>
      </c>
      <c r="B270">
        <v>269</v>
      </c>
      <c r="C270">
        <v>18</v>
      </c>
      <c r="D270" t="str">
        <f>_xlfn.XLOOKUP(Tabla36[[#This Row],[Product ID]],Tabla44[[#This Row],[product_id]],Tabla44[[#This Row],[product_name]])</f>
        <v>Relaxed Crew Dress</v>
      </c>
      <c r="E270" t="str">
        <f>_xlfn.XLOOKUP(Tabla36[[#This Row],[Product ID]],Tabla44[[#This Row],[product_id]],Tabla44[[#This Row],[category]])</f>
        <v>Dresses</v>
      </c>
    </row>
    <row r="271" spans="1:5" x14ac:dyDescent="0.3">
      <c r="A271" t="s">
        <v>8</v>
      </c>
      <c r="B271">
        <v>270</v>
      </c>
      <c r="C271">
        <v>28</v>
      </c>
      <c r="D271" t="str">
        <f>_xlfn.XLOOKUP(Tabla36[[#This Row],[Product ID]],Tabla44[[#This Row],[product_id]],Tabla44[[#This Row],[product_name]])</f>
        <v>Relaxed Silk Tee</v>
      </c>
      <c r="E271" t="str">
        <f>_xlfn.XLOOKUP(Tabla36[[#This Row],[Product ID]],Tabla44[[#This Row],[product_id]],Tabla44[[#This Row],[category]])</f>
        <v>T-Shirts</v>
      </c>
    </row>
    <row r="272" spans="1:5" x14ac:dyDescent="0.3">
      <c r="A272" t="s">
        <v>8</v>
      </c>
      <c r="B272">
        <v>271</v>
      </c>
      <c r="C272">
        <v>57</v>
      </c>
      <c r="D272" t="str">
        <f>_xlfn.XLOOKUP(Tabla36[[#This Row],[Product ID]],Tabla44[[#This Row],[product_id]],Tabla44[[#This Row],[product_name]])</f>
        <v>Essential Wrap Shoes</v>
      </c>
      <c r="E272" t="str">
        <f>_xlfn.XLOOKUP(Tabla36[[#This Row],[Product ID]],Tabla44[[#This Row],[product_id]],Tabla44[[#This Row],[category]])</f>
        <v>Shoes</v>
      </c>
    </row>
    <row r="273" spans="1:5" x14ac:dyDescent="0.3">
      <c r="A273" t="s">
        <v>8</v>
      </c>
      <c r="B273">
        <v>272</v>
      </c>
      <c r="C273">
        <v>89</v>
      </c>
      <c r="D273" t="str">
        <f>_xlfn.XLOOKUP(Tabla36[[#This Row],[Product ID]],Tabla44[[#This Row],[product_id]],Tabla44[[#This Row],[product_name]])</f>
        <v>Essential Linen Shoes</v>
      </c>
      <c r="E273" t="str">
        <f>_xlfn.XLOOKUP(Tabla36[[#This Row],[Product ID]],Tabla44[[#This Row],[product_id]],Tabla44[[#This Row],[category]])</f>
        <v>Shoes</v>
      </c>
    </row>
    <row r="274" spans="1:5" x14ac:dyDescent="0.3">
      <c r="A274" t="s">
        <v>8</v>
      </c>
      <c r="B274">
        <v>273</v>
      </c>
      <c r="C274">
        <v>12</v>
      </c>
      <c r="D274" t="str">
        <f>_xlfn.XLOOKUP(Tabla36[[#This Row],[Product ID]],Tabla44[[#This Row],[product_id]],Tabla44[[#This Row],[product_name]])</f>
        <v>Relaxed Crew Tee</v>
      </c>
      <c r="E274" t="str">
        <f>_xlfn.XLOOKUP(Tabla36[[#This Row],[Product ID]],Tabla44[[#This Row],[product_id]],Tabla44[[#This Row],[category]])</f>
        <v>T-Shirts</v>
      </c>
    </row>
    <row r="275" spans="1:5" x14ac:dyDescent="0.3">
      <c r="A275" t="s">
        <v>8</v>
      </c>
      <c r="B275">
        <v>274</v>
      </c>
      <c r="C275">
        <v>29</v>
      </c>
      <c r="D275" t="str">
        <f>_xlfn.XLOOKUP(Tabla36[[#This Row],[Product ID]],Tabla44[[#This Row],[product_id]],Tabla44[[#This Row],[product_name]])</f>
        <v>Relaxed Wrap Set</v>
      </c>
      <c r="E275" t="str">
        <f>_xlfn.XLOOKUP(Tabla36[[#This Row],[Product ID]],Tabla44[[#This Row],[product_id]],Tabla44[[#This Row],[category]])</f>
        <v>Sleepwear</v>
      </c>
    </row>
    <row r="276" spans="1:5" x14ac:dyDescent="0.3">
      <c r="A276" t="s">
        <v>8</v>
      </c>
      <c r="B276">
        <v>275</v>
      </c>
      <c r="C276">
        <v>33</v>
      </c>
      <c r="D276" t="str">
        <f>_xlfn.XLOOKUP(Tabla36[[#This Row],[Product ID]],Tabla44[[#This Row],[product_id]],Tabla44[[#This Row],[product_name]])</f>
        <v>Relaxed Sleeveless Tee</v>
      </c>
      <c r="E276" t="str">
        <f>_xlfn.XLOOKUP(Tabla36[[#This Row],[Product ID]],Tabla44[[#This Row],[product_id]],Tabla44[[#This Row],[category]])</f>
        <v>T-Shirts</v>
      </c>
    </row>
    <row r="277" spans="1:5" x14ac:dyDescent="0.3">
      <c r="A277" t="s">
        <v>8</v>
      </c>
      <c r="B277">
        <v>276</v>
      </c>
      <c r="C277">
        <v>63</v>
      </c>
      <c r="D277" t="str">
        <f>_xlfn.XLOOKUP(Tabla36[[#This Row],[Product ID]],Tabla44[[#This Row],[product_id]],Tabla44[[#This Row],[product_name]])</f>
        <v>Relaxed High-Waist Tee</v>
      </c>
      <c r="E277" t="str">
        <f>_xlfn.XLOOKUP(Tabla36[[#This Row],[Product ID]],Tabla44[[#This Row],[product_id]],Tabla44[[#This Row],[category]])</f>
        <v>T-Shirts</v>
      </c>
    </row>
    <row r="278" spans="1:5" x14ac:dyDescent="0.3">
      <c r="A278" t="s">
        <v>8</v>
      </c>
      <c r="B278">
        <v>277</v>
      </c>
      <c r="C278">
        <v>42</v>
      </c>
      <c r="D278" t="str">
        <f>_xlfn.XLOOKUP(Tabla36[[#This Row],[Product ID]],Tabla44[[#This Row],[product_id]],Tabla44[[#This Row],[product_name]])</f>
        <v>Relaxed Boxy Tee</v>
      </c>
      <c r="E278" t="str">
        <f>_xlfn.XLOOKUP(Tabla36[[#This Row],[Product ID]],Tabla44[[#This Row],[product_id]],Tabla44[[#This Row],[category]])</f>
        <v>T-Shirts</v>
      </c>
    </row>
    <row r="279" spans="1:5" x14ac:dyDescent="0.3">
      <c r="A279" t="s">
        <v>8</v>
      </c>
      <c r="B279">
        <v>278</v>
      </c>
      <c r="C279">
        <v>33</v>
      </c>
      <c r="D279" t="str">
        <f>_xlfn.XLOOKUP(Tabla36[[#This Row],[Product ID]],Tabla44[[#This Row],[product_id]],Tabla44[[#This Row],[product_name]])</f>
        <v>Essential Wrap Tee</v>
      </c>
      <c r="E279" t="str">
        <f>_xlfn.XLOOKUP(Tabla36[[#This Row],[Product ID]],Tabla44[[#This Row],[product_id]],Tabla44[[#This Row],[category]])</f>
        <v>T-Shirts</v>
      </c>
    </row>
    <row r="280" spans="1:5" x14ac:dyDescent="0.3">
      <c r="A280" t="s">
        <v>8</v>
      </c>
      <c r="B280">
        <v>279</v>
      </c>
      <c r="C280">
        <v>84</v>
      </c>
      <c r="D280" t="str">
        <f>_xlfn.XLOOKUP(Tabla36[[#This Row],[Product ID]],Tabla44[[#This Row],[product_id]],Tabla44[[#This Row],[product_name]])</f>
        <v>Relaxed Linen Set</v>
      </c>
      <c r="E280" t="str">
        <f>_xlfn.XLOOKUP(Tabla36[[#This Row],[Product ID]],Tabla44[[#This Row],[product_id]],Tabla44[[#This Row],[category]])</f>
        <v>Sleepwear</v>
      </c>
    </row>
    <row r="281" spans="1:5" x14ac:dyDescent="0.3">
      <c r="A281" t="s">
        <v>8</v>
      </c>
      <c r="B281">
        <v>280</v>
      </c>
      <c r="C281">
        <v>1</v>
      </c>
      <c r="D281" t="str">
        <f>_xlfn.XLOOKUP(Tabla36[[#This Row],[Product ID]],Tabla44[[#This Row],[product_id]],Tabla44[[#This Row],[product_name]])</f>
        <v>Essential Linen Tee</v>
      </c>
      <c r="E281" t="str">
        <f>_xlfn.XLOOKUP(Tabla36[[#This Row],[Product ID]],Tabla44[[#This Row],[product_id]],Tabla44[[#This Row],[category]])</f>
        <v>T-Shirts</v>
      </c>
    </row>
    <row r="282" spans="1:5" x14ac:dyDescent="0.3">
      <c r="A282" t="s">
        <v>8</v>
      </c>
      <c r="B282">
        <v>281</v>
      </c>
      <c r="C282">
        <v>45</v>
      </c>
      <c r="D282" t="str">
        <f>_xlfn.XLOOKUP(Tabla36[[#This Row],[Product ID]],Tabla44[[#This Row],[product_id]],Tabla44[[#This Row],[product_name]])</f>
        <v>Polished Sleeveless Trousers</v>
      </c>
      <c r="E282" t="str">
        <f>_xlfn.XLOOKUP(Tabla36[[#This Row],[Product ID]],Tabla44[[#This Row],[product_id]],Tabla44[[#This Row],[category]])</f>
        <v>Pants</v>
      </c>
    </row>
    <row r="283" spans="1:5" x14ac:dyDescent="0.3">
      <c r="A283" t="s">
        <v>8</v>
      </c>
      <c r="B283">
        <v>282</v>
      </c>
      <c r="C283">
        <v>47</v>
      </c>
      <c r="D283" t="str">
        <f>_xlfn.XLOOKUP(Tabla36[[#This Row],[Product ID]],Tabla44[[#This Row],[product_id]],Tabla44[[#This Row],[product_name]])</f>
        <v>Polished High-Waist Trousers</v>
      </c>
      <c r="E283" t="str">
        <f>_xlfn.XLOOKUP(Tabla36[[#This Row],[Product ID]],Tabla44[[#This Row],[product_id]],Tabla44[[#This Row],[category]])</f>
        <v>Pants</v>
      </c>
    </row>
    <row r="284" spans="1:5" x14ac:dyDescent="0.3">
      <c r="A284" t="s">
        <v>8</v>
      </c>
      <c r="B284">
        <v>283</v>
      </c>
      <c r="C284">
        <v>93</v>
      </c>
      <c r="D284" t="str">
        <f>_xlfn.XLOOKUP(Tabla36[[#This Row],[Product ID]],Tabla44[[#This Row],[product_id]],Tabla44[[#This Row],[product_name]])</f>
        <v>Essential Ribbed Shoes</v>
      </c>
      <c r="E284" t="str">
        <f>_xlfn.XLOOKUP(Tabla36[[#This Row],[Product ID]],Tabla44[[#This Row],[product_id]],Tabla44[[#This Row],[category]])</f>
        <v>Shoes</v>
      </c>
    </row>
    <row r="285" spans="1:5" x14ac:dyDescent="0.3">
      <c r="A285" t="s">
        <v>8</v>
      </c>
      <c r="B285">
        <v>284</v>
      </c>
      <c r="C285">
        <v>98</v>
      </c>
      <c r="D285" t="str">
        <f>_xlfn.XLOOKUP(Tabla36[[#This Row],[Product ID]],Tabla44[[#This Row],[product_id]],Tabla44[[#This Row],[product_name]])</f>
        <v>Essential Cotton Shoes</v>
      </c>
      <c r="E285" t="str">
        <f>_xlfn.XLOOKUP(Tabla36[[#This Row],[Product ID]],Tabla44[[#This Row],[product_id]],Tabla44[[#This Row],[category]])</f>
        <v>Shoes</v>
      </c>
    </row>
    <row r="286" spans="1:5" x14ac:dyDescent="0.3">
      <c r="A286" t="s">
        <v>8</v>
      </c>
      <c r="B286">
        <v>285</v>
      </c>
      <c r="C286">
        <v>34</v>
      </c>
      <c r="D286" t="str">
        <f>_xlfn.XLOOKUP(Tabla36[[#This Row],[Product ID]],Tabla44[[#This Row],[product_id]],Tabla44[[#This Row],[product_name]])</f>
        <v>Relaxed Sleeveless Dress</v>
      </c>
      <c r="E286" t="str">
        <f>_xlfn.XLOOKUP(Tabla36[[#This Row],[Product ID]],Tabla44[[#This Row],[product_id]],Tabla44[[#This Row],[category]])</f>
        <v>Dresses</v>
      </c>
    </row>
    <row r="287" spans="1:5" x14ac:dyDescent="0.3">
      <c r="A287" t="s">
        <v>8</v>
      </c>
      <c r="B287">
        <v>286</v>
      </c>
      <c r="C287">
        <v>27</v>
      </c>
      <c r="D287" t="str">
        <f>_xlfn.XLOOKUP(Tabla36[[#This Row],[Product ID]],Tabla44[[#This Row],[product_id]],Tabla44[[#This Row],[product_name]])</f>
        <v>Essential Satin Shoes</v>
      </c>
      <c r="E287" t="str">
        <f>_xlfn.XLOOKUP(Tabla36[[#This Row],[Product ID]],Tabla44[[#This Row],[product_id]],Tabla44[[#This Row],[category]])</f>
        <v>Shoes</v>
      </c>
    </row>
    <row r="288" spans="1:5" x14ac:dyDescent="0.3">
      <c r="A288" t="s">
        <v>8</v>
      </c>
      <c r="B288">
        <v>287</v>
      </c>
      <c r="C288">
        <v>91</v>
      </c>
      <c r="D288" t="str">
        <f>_xlfn.XLOOKUP(Tabla36[[#This Row],[Product ID]],Tabla44[[#This Row],[product_id]],Tabla44[[#This Row],[product_name]])</f>
        <v>Relaxed Ribbed Set</v>
      </c>
      <c r="E288" t="str">
        <f>_xlfn.XLOOKUP(Tabla36[[#This Row],[Product ID]],Tabla44[[#This Row],[product_id]],Tabla44[[#This Row],[category]])</f>
        <v>Sleepwear</v>
      </c>
    </row>
    <row r="289" spans="1:5" x14ac:dyDescent="0.3">
      <c r="A289" t="s">
        <v>8</v>
      </c>
      <c r="B289">
        <v>288</v>
      </c>
      <c r="C289">
        <v>75</v>
      </c>
      <c r="D289" t="str">
        <f>_xlfn.XLOOKUP(Tabla36[[#This Row],[Product ID]],Tabla44[[#This Row],[product_id]],Tabla44[[#This Row],[product_name]])</f>
        <v>Essential Ribbed Tee</v>
      </c>
      <c r="E289" t="str">
        <f>_xlfn.XLOOKUP(Tabla36[[#This Row],[Product ID]],Tabla44[[#This Row],[product_id]],Tabla44[[#This Row],[category]])</f>
        <v>T-Shirts</v>
      </c>
    </row>
    <row r="290" spans="1:5" x14ac:dyDescent="0.3">
      <c r="A290" t="s">
        <v>8</v>
      </c>
      <c r="B290">
        <v>289</v>
      </c>
      <c r="C290">
        <v>63</v>
      </c>
      <c r="D290" t="str">
        <f>_xlfn.XLOOKUP(Tabla36[[#This Row],[Product ID]],Tabla44[[#This Row],[product_id]],Tabla44[[#This Row],[product_name]])</f>
        <v>Relaxed High-Waist Dress</v>
      </c>
      <c r="E290" t="str">
        <f>_xlfn.XLOOKUP(Tabla36[[#This Row],[Product ID]],Tabla44[[#This Row],[product_id]],Tabla44[[#This Row],[category]])</f>
        <v>Dresses</v>
      </c>
    </row>
    <row r="291" spans="1:5" x14ac:dyDescent="0.3">
      <c r="A291" t="s">
        <v>8</v>
      </c>
      <c r="B291">
        <v>290</v>
      </c>
      <c r="C291">
        <v>4</v>
      </c>
      <c r="D291" t="str">
        <f>_xlfn.XLOOKUP(Tabla36[[#This Row],[Product ID]],Tabla44[[#This Row],[product_id]],Tabla44[[#This Row],[product_name]])</f>
        <v>Relaxed Cotton Set</v>
      </c>
      <c r="E291" t="str">
        <f>_xlfn.XLOOKUP(Tabla36[[#This Row],[Product ID]],Tabla44[[#This Row],[product_id]],Tabla44[[#This Row],[category]])</f>
        <v>Sleepwear</v>
      </c>
    </row>
    <row r="292" spans="1:5" x14ac:dyDescent="0.3">
      <c r="A292" t="s">
        <v>8</v>
      </c>
      <c r="B292">
        <v>291</v>
      </c>
      <c r="C292">
        <v>89</v>
      </c>
      <c r="D292" t="str">
        <f>_xlfn.XLOOKUP(Tabla36[[#This Row],[Product ID]],Tabla44[[#This Row],[product_id]],Tabla44[[#This Row],[product_name]])</f>
        <v>Essential Silk Shoes</v>
      </c>
      <c r="E292" t="str">
        <f>_xlfn.XLOOKUP(Tabla36[[#This Row],[Product ID]],Tabla44[[#This Row],[product_id]],Tabla44[[#This Row],[category]])</f>
        <v>Shoes</v>
      </c>
    </row>
    <row r="293" spans="1:5" x14ac:dyDescent="0.3">
      <c r="A293" t="s">
        <v>8</v>
      </c>
      <c r="B293">
        <v>292</v>
      </c>
      <c r="C293">
        <v>70</v>
      </c>
      <c r="D293" t="str">
        <f>_xlfn.XLOOKUP(Tabla36[[#This Row],[Product ID]],Tabla44[[#This Row],[product_id]],Tabla44[[#This Row],[product_name]])</f>
        <v>Essential Cotton Tee</v>
      </c>
      <c r="E293" t="str">
        <f>_xlfn.XLOOKUP(Tabla36[[#This Row],[Product ID]],Tabla44[[#This Row],[product_id]],Tabla44[[#This Row],[category]])</f>
        <v>T-Shirts</v>
      </c>
    </row>
    <row r="294" spans="1:5" x14ac:dyDescent="0.3">
      <c r="A294" t="s">
        <v>8</v>
      </c>
      <c r="B294">
        <v>293</v>
      </c>
      <c r="C294">
        <v>1</v>
      </c>
      <c r="D294" t="str">
        <f>_xlfn.XLOOKUP(Tabla36[[#This Row],[Product ID]],Tabla44[[#This Row],[product_id]],Tabla44[[#This Row],[product_name]])</f>
        <v>Essential Crew Shoes</v>
      </c>
      <c r="E294" t="str">
        <f>_xlfn.XLOOKUP(Tabla36[[#This Row],[Product ID]],Tabla44[[#This Row],[product_id]],Tabla44[[#This Row],[category]])</f>
        <v>Shoes</v>
      </c>
    </row>
    <row r="295" spans="1:5" x14ac:dyDescent="0.3">
      <c r="A295" t="s">
        <v>8</v>
      </c>
      <c r="B295">
        <v>294</v>
      </c>
      <c r="C295">
        <v>42</v>
      </c>
      <c r="D295" t="str">
        <f>_xlfn.XLOOKUP(Tabla36[[#This Row],[Product ID]],Tabla44[[#This Row],[product_id]],Tabla44[[#This Row],[product_name]])</f>
        <v>Essential Sleeveless Shoes</v>
      </c>
      <c r="E295" t="str">
        <f>_xlfn.XLOOKUP(Tabla36[[#This Row],[Product ID]],Tabla44[[#This Row],[product_id]],Tabla44[[#This Row],[category]])</f>
        <v>Shoes</v>
      </c>
    </row>
    <row r="296" spans="1:5" x14ac:dyDescent="0.3">
      <c r="A296" t="s">
        <v>8</v>
      </c>
      <c r="B296">
        <v>295</v>
      </c>
      <c r="C296">
        <v>77</v>
      </c>
      <c r="D296" t="str">
        <f>_xlfn.XLOOKUP(Tabla36[[#This Row],[Product ID]],Tabla44[[#This Row],[product_id]],Tabla44[[#This Row],[product_name]])</f>
        <v>Polished Boxy Trousers</v>
      </c>
      <c r="E296" t="str">
        <f>_xlfn.XLOOKUP(Tabla36[[#This Row],[Product ID]],Tabla44[[#This Row],[product_id]],Tabla44[[#This Row],[category]])</f>
        <v>Pants</v>
      </c>
    </row>
    <row r="297" spans="1:5" x14ac:dyDescent="0.3">
      <c r="A297" t="s">
        <v>8</v>
      </c>
      <c r="B297">
        <v>296</v>
      </c>
      <c r="C297">
        <v>42</v>
      </c>
      <c r="D297" t="str">
        <f>_xlfn.XLOOKUP(Tabla36[[#This Row],[Product ID]],Tabla44[[#This Row],[product_id]],Tabla44[[#This Row],[product_name]])</f>
        <v>Relaxed Boxy Dress</v>
      </c>
      <c r="E297" t="str">
        <f>_xlfn.XLOOKUP(Tabla36[[#This Row],[Product ID]],Tabla44[[#This Row],[product_id]],Tabla44[[#This Row],[category]])</f>
        <v>Dresses</v>
      </c>
    </row>
    <row r="298" spans="1:5" x14ac:dyDescent="0.3">
      <c r="A298" t="s">
        <v>8</v>
      </c>
      <c r="B298">
        <v>297</v>
      </c>
      <c r="C298">
        <v>23</v>
      </c>
      <c r="D298" t="str">
        <f>_xlfn.XLOOKUP(Tabla36[[#This Row],[Product ID]],Tabla44[[#This Row],[product_id]],Tabla44[[#This Row],[product_name]])</f>
        <v>Essential High-Waist Shoes</v>
      </c>
      <c r="E298" t="str">
        <f>_xlfn.XLOOKUP(Tabla36[[#This Row],[Product ID]],Tabla44[[#This Row],[product_id]],Tabla44[[#This Row],[category]])</f>
        <v>Shoes</v>
      </c>
    </row>
    <row r="299" spans="1:5" x14ac:dyDescent="0.3">
      <c r="A299" t="s">
        <v>8</v>
      </c>
      <c r="B299">
        <v>298</v>
      </c>
      <c r="C299">
        <v>30</v>
      </c>
      <c r="D299" t="str">
        <f>_xlfn.XLOOKUP(Tabla36[[#This Row],[Product ID]],Tabla44[[#This Row],[product_id]],Tabla44[[#This Row],[product_name]])</f>
        <v>Essential Boxy Shoes</v>
      </c>
      <c r="E299" t="str">
        <f>_xlfn.XLOOKUP(Tabla36[[#This Row],[Product ID]],Tabla44[[#This Row],[product_id]],Tabla44[[#This Row],[category]])</f>
        <v>Shoes</v>
      </c>
    </row>
    <row r="300" spans="1:5" x14ac:dyDescent="0.3">
      <c r="A300" t="s">
        <v>8</v>
      </c>
      <c r="B300">
        <v>299</v>
      </c>
      <c r="C300">
        <v>57</v>
      </c>
      <c r="D300" t="str">
        <f>_xlfn.XLOOKUP(Tabla36[[#This Row],[Product ID]],Tabla44[[#This Row],[product_id]],Tabla44[[#This Row],[product_name]])</f>
        <v>Essential Wrap Dress</v>
      </c>
      <c r="E300" t="str">
        <f>_xlfn.XLOOKUP(Tabla36[[#This Row],[Product ID]],Tabla44[[#This Row],[product_id]],Tabla44[[#This Row],[category]])</f>
        <v>Dresses</v>
      </c>
    </row>
    <row r="301" spans="1:5" x14ac:dyDescent="0.3">
      <c r="A301" t="s">
        <v>8</v>
      </c>
      <c r="B301">
        <v>300</v>
      </c>
      <c r="C301">
        <v>29</v>
      </c>
      <c r="D301" t="str">
        <f>_xlfn.XLOOKUP(Tabla36[[#This Row],[Product ID]],Tabla44[[#This Row],[product_id]],Tabla44[[#This Row],[product_name]])</f>
        <v>Tailored Wrap Shoes</v>
      </c>
      <c r="E301" t="str">
        <f>_xlfn.XLOOKUP(Tabla36[[#This Row],[Product ID]],Tabla44[[#This Row],[product_id]],Tabla44[[#This Row],[category]])</f>
        <v>Shoes</v>
      </c>
    </row>
    <row r="302" spans="1:5" x14ac:dyDescent="0.3">
      <c r="A302" t="s">
        <v>8</v>
      </c>
      <c r="B302">
        <v>301</v>
      </c>
      <c r="C302">
        <v>17</v>
      </c>
      <c r="D302" t="str">
        <f>_xlfn.XLOOKUP(Tabla36[[#This Row],[Product ID]],Tabla44[[#This Row],[product_id]],Tabla44[[#This Row],[product_name]])</f>
        <v>Essential Linen Dress</v>
      </c>
      <c r="E302" t="str">
        <f>_xlfn.XLOOKUP(Tabla36[[#This Row],[Product ID]],Tabla44[[#This Row],[product_id]],Tabla44[[#This Row],[category]])</f>
        <v>Dresses</v>
      </c>
    </row>
    <row r="303" spans="1:5" x14ac:dyDescent="0.3">
      <c r="A303" t="s">
        <v>8</v>
      </c>
      <c r="B303">
        <v>302</v>
      </c>
      <c r="C303">
        <v>16</v>
      </c>
      <c r="D303" t="str">
        <f>_xlfn.XLOOKUP(Tabla36[[#This Row],[Product ID]],Tabla44[[#This Row],[product_id]],Tabla44[[#This Row],[product_name]])</f>
        <v>Essential Satin Tee</v>
      </c>
      <c r="E303" t="str">
        <f>_xlfn.XLOOKUP(Tabla36[[#This Row],[Product ID]],Tabla44[[#This Row],[product_id]],Tabla44[[#This Row],[category]])</f>
        <v>T-Shirts</v>
      </c>
    </row>
    <row r="304" spans="1:5" x14ac:dyDescent="0.3">
      <c r="A304" t="s">
        <v>8</v>
      </c>
      <c r="B304">
        <v>303</v>
      </c>
      <c r="C304">
        <v>76</v>
      </c>
      <c r="D304" t="str">
        <f>_xlfn.XLOOKUP(Tabla36[[#This Row],[Product ID]],Tabla44[[#This Row],[product_id]],Tabla44[[#This Row],[product_name]])</f>
        <v>Relaxed Satin Set</v>
      </c>
      <c r="E304" t="str">
        <f>_xlfn.XLOOKUP(Tabla36[[#This Row],[Product ID]],Tabla44[[#This Row],[product_id]],Tabla44[[#This Row],[category]])</f>
        <v>Sleepwear</v>
      </c>
    </row>
    <row r="305" spans="1:5" x14ac:dyDescent="0.3">
      <c r="A305" t="s">
        <v>8</v>
      </c>
      <c r="B305">
        <v>304</v>
      </c>
      <c r="C305">
        <v>26</v>
      </c>
      <c r="D305" t="str">
        <f>_xlfn.XLOOKUP(Tabla36[[#This Row],[Product ID]],Tabla44[[#This Row],[product_id]],Tabla44[[#This Row],[product_name]])</f>
        <v>Essential Silk Tee</v>
      </c>
      <c r="E305" t="str">
        <f>_xlfn.XLOOKUP(Tabla36[[#This Row],[Product ID]],Tabla44[[#This Row],[product_id]],Tabla44[[#This Row],[category]])</f>
        <v>T-Shirts</v>
      </c>
    </row>
    <row r="306" spans="1:5" x14ac:dyDescent="0.3">
      <c r="A306" t="s">
        <v>8</v>
      </c>
      <c r="B306">
        <v>305</v>
      </c>
      <c r="C306">
        <v>42</v>
      </c>
      <c r="D306" t="str">
        <f>_xlfn.XLOOKUP(Tabla36[[#This Row],[Product ID]],Tabla44[[#This Row],[product_id]],Tabla44[[#This Row],[product_name]])</f>
        <v>Relaxed Wrap Trousers</v>
      </c>
      <c r="E306" t="str">
        <f>_xlfn.XLOOKUP(Tabla36[[#This Row],[Product ID]],Tabla44[[#This Row],[product_id]],Tabla44[[#This Row],[category]])</f>
        <v>Pants</v>
      </c>
    </row>
    <row r="307" spans="1:5" x14ac:dyDescent="0.3">
      <c r="A307" t="s">
        <v>8</v>
      </c>
      <c r="B307">
        <v>306</v>
      </c>
      <c r="C307">
        <v>3</v>
      </c>
      <c r="D307" t="str">
        <f>_xlfn.XLOOKUP(Tabla36[[#This Row],[Product ID]],Tabla44[[#This Row],[product_id]],Tabla44[[#This Row],[product_name]])</f>
        <v>Relaxed Silk Set</v>
      </c>
      <c r="E307" t="str">
        <f>_xlfn.XLOOKUP(Tabla36[[#This Row],[Product ID]],Tabla44[[#This Row],[product_id]],Tabla44[[#This Row],[category]])</f>
        <v>Sleepwear</v>
      </c>
    </row>
    <row r="308" spans="1:5" x14ac:dyDescent="0.3">
      <c r="A308" t="s">
        <v>8</v>
      </c>
      <c r="B308">
        <v>307</v>
      </c>
      <c r="C308">
        <v>85</v>
      </c>
      <c r="D308" t="str">
        <f>_xlfn.XLOOKUP(Tabla36[[#This Row],[Product ID]],Tabla44[[#This Row],[product_id]],Tabla44[[#This Row],[product_name]])</f>
        <v>Essential Crew Tee</v>
      </c>
      <c r="E308" t="str">
        <f>_xlfn.XLOOKUP(Tabla36[[#This Row],[Product ID]],Tabla44[[#This Row],[product_id]],Tabla44[[#This Row],[category]])</f>
        <v>T-Shirts</v>
      </c>
    </row>
    <row r="309" spans="1:5" x14ac:dyDescent="0.3">
      <c r="A309" t="s">
        <v>8</v>
      </c>
      <c r="B309">
        <v>308</v>
      </c>
      <c r="C309">
        <v>68</v>
      </c>
      <c r="D309" t="str">
        <f>_xlfn.XLOOKUP(Tabla36[[#This Row],[Product ID]],Tabla44[[#This Row],[product_id]],Tabla44[[#This Row],[product_name]])</f>
        <v>Relaxed Linen Trousers</v>
      </c>
      <c r="E309" t="str">
        <f>_xlfn.XLOOKUP(Tabla36[[#This Row],[Product ID]],Tabla44[[#This Row],[product_id]],Tabla44[[#This Row],[category]])</f>
        <v>Pants</v>
      </c>
    </row>
    <row r="310" spans="1:5" x14ac:dyDescent="0.3">
      <c r="A310" t="s">
        <v>8</v>
      </c>
      <c r="B310">
        <v>309</v>
      </c>
      <c r="C310">
        <v>5</v>
      </c>
      <c r="D310" t="str">
        <f>_xlfn.XLOOKUP(Tabla36[[#This Row],[Product ID]],Tabla44[[#This Row],[product_id]],Tabla44[[#This Row],[product_name]])</f>
        <v>Essential Ribbed Dress</v>
      </c>
      <c r="E310" t="str">
        <f>_xlfn.XLOOKUP(Tabla36[[#This Row],[Product ID]],Tabla44[[#This Row],[product_id]],Tabla44[[#This Row],[category]])</f>
        <v>Dresses</v>
      </c>
    </row>
    <row r="311" spans="1:5" x14ac:dyDescent="0.3">
      <c r="A311" t="s">
        <v>8</v>
      </c>
      <c r="B311">
        <v>310</v>
      </c>
      <c r="C311">
        <v>31</v>
      </c>
      <c r="D311" t="str">
        <f>_xlfn.XLOOKUP(Tabla36[[#This Row],[Product ID]],Tabla44[[#This Row],[product_id]],Tabla44[[#This Row],[product_name]])</f>
        <v>Relaxed Ribbed Trousers</v>
      </c>
      <c r="E311" t="str">
        <f>_xlfn.XLOOKUP(Tabla36[[#This Row],[Product ID]],Tabla44[[#This Row],[product_id]],Tabla44[[#This Row],[category]])</f>
        <v>Pants</v>
      </c>
    </row>
    <row r="312" spans="1:5" x14ac:dyDescent="0.3">
      <c r="A312" t="s">
        <v>8</v>
      </c>
      <c r="B312">
        <v>311</v>
      </c>
      <c r="C312">
        <v>39</v>
      </c>
      <c r="D312" t="str">
        <f>_xlfn.XLOOKUP(Tabla36[[#This Row],[Product ID]],Tabla44[[#This Row],[product_id]],Tabla44[[#This Row],[product_name]])</f>
        <v>Essential Cotton Dress</v>
      </c>
      <c r="E312" t="str">
        <f>_xlfn.XLOOKUP(Tabla36[[#This Row],[Product ID]],Tabla44[[#This Row],[product_id]],Tabla44[[#This Row],[category]])</f>
        <v>Dresses</v>
      </c>
    </row>
    <row r="313" spans="1:5" x14ac:dyDescent="0.3">
      <c r="A313" t="s">
        <v>8</v>
      </c>
      <c r="B313">
        <v>312</v>
      </c>
      <c r="C313">
        <v>47</v>
      </c>
      <c r="D313" t="str">
        <f>_xlfn.XLOOKUP(Tabla36[[#This Row],[Product ID]],Tabla44[[#This Row],[product_id]],Tabla44[[#This Row],[product_name]])</f>
        <v>Essential Satin Dress</v>
      </c>
      <c r="E313" t="str">
        <f>_xlfn.XLOOKUP(Tabla36[[#This Row],[Product ID]],Tabla44[[#This Row],[product_id]],Tabla44[[#This Row],[category]])</f>
        <v>Dresses</v>
      </c>
    </row>
    <row r="314" spans="1:5" x14ac:dyDescent="0.3">
      <c r="A314" t="s">
        <v>8</v>
      </c>
      <c r="B314">
        <v>313</v>
      </c>
      <c r="C314">
        <v>2</v>
      </c>
      <c r="D314" t="str">
        <f>_xlfn.XLOOKUP(Tabla36[[#This Row],[Product ID]],Tabla44[[#This Row],[product_id]],Tabla44[[#This Row],[product_name]])</f>
        <v>Relaxed Crew Set</v>
      </c>
      <c r="E314" t="str">
        <f>_xlfn.XLOOKUP(Tabla36[[#This Row],[Product ID]],Tabla44[[#This Row],[product_id]],Tabla44[[#This Row],[category]])</f>
        <v>Sleepwear</v>
      </c>
    </row>
    <row r="315" spans="1:5" x14ac:dyDescent="0.3">
      <c r="A315" t="s">
        <v>8</v>
      </c>
      <c r="B315">
        <v>314</v>
      </c>
      <c r="C315">
        <v>63</v>
      </c>
      <c r="D315" t="str">
        <f>_xlfn.XLOOKUP(Tabla36[[#This Row],[Product ID]],Tabla44[[#This Row],[product_id]],Tabla44[[#This Row],[product_name]])</f>
        <v>Relaxed Sleeveless Set</v>
      </c>
      <c r="E315" t="str">
        <f>_xlfn.XLOOKUP(Tabla36[[#This Row],[Product ID]],Tabla44[[#This Row],[product_id]],Tabla44[[#This Row],[category]])</f>
        <v>Sleepwear</v>
      </c>
    </row>
    <row r="316" spans="1:5" x14ac:dyDescent="0.3">
      <c r="A316" t="s">
        <v>8</v>
      </c>
      <c r="B316">
        <v>315</v>
      </c>
      <c r="C316">
        <v>17</v>
      </c>
      <c r="D316" t="str">
        <f>_xlfn.XLOOKUP(Tabla36[[#This Row],[Product ID]],Tabla44[[#This Row],[product_id]],Tabla44[[#This Row],[product_name]])</f>
        <v>Essential Sleeveless Tee</v>
      </c>
      <c r="E316" t="str">
        <f>_xlfn.XLOOKUP(Tabla36[[#This Row],[Product ID]],Tabla44[[#This Row],[product_id]],Tabla44[[#This Row],[category]])</f>
        <v>T-Shirts</v>
      </c>
    </row>
    <row r="317" spans="1:5" x14ac:dyDescent="0.3">
      <c r="A317" t="s">
        <v>8</v>
      </c>
      <c r="B317">
        <v>316</v>
      </c>
      <c r="C317">
        <v>36</v>
      </c>
      <c r="D317" t="str">
        <f>_xlfn.XLOOKUP(Tabla36[[#This Row],[Product ID]],Tabla44[[#This Row],[product_id]],Tabla44[[#This Row],[product_name]])</f>
        <v>Essential High-Waist Tee</v>
      </c>
      <c r="E317" t="str">
        <f>_xlfn.XLOOKUP(Tabla36[[#This Row],[Product ID]],Tabla44[[#This Row],[product_id]],Tabla44[[#This Row],[category]])</f>
        <v>T-Shirts</v>
      </c>
    </row>
    <row r="318" spans="1:5" x14ac:dyDescent="0.3">
      <c r="A318" t="s">
        <v>8</v>
      </c>
      <c r="B318">
        <v>317</v>
      </c>
      <c r="C318">
        <v>36</v>
      </c>
      <c r="D318" t="str">
        <f>_xlfn.XLOOKUP(Tabla36[[#This Row],[Product ID]],Tabla44[[#This Row],[product_id]],Tabla44[[#This Row],[product_name]])</f>
        <v>Relaxed High-Waist Set</v>
      </c>
      <c r="E318" t="str">
        <f>_xlfn.XLOOKUP(Tabla36[[#This Row],[Product ID]],Tabla44[[#This Row],[product_id]],Tabla44[[#This Row],[category]])</f>
        <v>Sleepwear</v>
      </c>
    </row>
    <row r="319" spans="1:5" x14ac:dyDescent="0.3">
      <c r="A319" t="s">
        <v>8</v>
      </c>
      <c r="B319">
        <v>318</v>
      </c>
      <c r="C319">
        <v>30</v>
      </c>
      <c r="D319" t="str">
        <f>_xlfn.XLOOKUP(Tabla36[[#This Row],[Product ID]],Tabla44[[#This Row],[product_id]],Tabla44[[#This Row],[product_name]])</f>
        <v>Essential Boxy Tee</v>
      </c>
      <c r="E319" t="str">
        <f>_xlfn.XLOOKUP(Tabla36[[#This Row],[Product ID]],Tabla44[[#This Row],[product_id]],Tabla44[[#This Row],[category]])</f>
        <v>T-Shirts</v>
      </c>
    </row>
    <row r="320" spans="1:5" x14ac:dyDescent="0.3">
      <c r="A320" t="s">
        <v>8</v>
      </c>
      <c r="B320">
        <v>319</v>
      </c>
      <c r="C320">
        <v>39</v>
      </c>
      <c r="D320" t="str">
        <f>_xlfn.XLOOKUP(Tabla36[[#This Row],[Product ID]],Tabla44[[#This Row],[product_id]],Tabla44[[#This Row],[product_name]])</f>
        <v>Essential Silk Dress</v>
      </c>
      <c r="E320" t="str">
        <f>_xlfn.XLOOKUP(Tabla36[[#This Row],[Product ID]],Tabla44[[#This Row],[product_id]],Tabla44[[#This Row],[category]])</f>
        <v>Dresses</v>
      </c>
    </row>
    <row r="321" spans="1:5" x14ac:dyDescent="0.3">
      <c r="A321" t="s">
        <v>8</v>
      </c>
      <c r="B321">
        <v>320</v>
      </c>
      <c r="C321">
        <v>4</v>
      </c>
      <c r="D321" t="str">
        <f>_xlfn.XLOOKUP(Tabla36[[#This Row],[Product ID]],Tabla44[[#This Row],[product_id]],Tabla44[[#This Row],[product_name]])</f>
        <v>Essential Crew Dress</v>
      </c>
      <c r="E321" t="str">
        <f>_xlfn.XLOOKUP(Tabla36[[#This Row],[Product ID]],Tabla44[[#This Row],[product_id]],Tabla44[[#This Row],[category]])</f>
        <v>Dresses</v>
      </c>
    </row>
    <row r="322" spans="1:5" x14ac:dyDescent="0.3">
      <c r="A322" t="s">
        <v>8</v>
      </c>
      <c r="B322">
        <v>321</v>
      </c>
      <c r="C322">
        <v>73</v>
      </c>
      <c r="D322" t="str">
        <f>_xlfn.XLOOKUP(Tabla36[[#This Row],[Product ID]],Tabla44[[#This Row],[product_id]],Tabla44[[#This Row],[product_name]])</f>
        <v>Relaxed Cotton Trousers</v>
      </c>
      <c r="E322" t="str">
        <f>_xlfn.XLOOKUP(Tabla36[[#This Row],[Product ID]],Tabla44[[#This Row],[product_id]],Tabla44[[#This Row],[category]])</f>
        <v>Pants</v>
      </c>
    </row>
    <row r="323" spans="1:5" x14ac:dyDescent="0.3">
      <c r="A323" t="s">
        <v>8</v>
      </c>
      <c r="B323">
        <v>322</v>
      </c>
      <c r="C323">
        <v>78</v>
      </c>
      <c r="D323" t="str">
        <f>_xlfn.XLOOKUP(Tabla36[[#This Row],[Product ID]],Tabla44[[#This Row],[product_id]],Tabla44[[#This Row],[product_name]])</f>
        <v>Essential Sleeveless Dress</v>
      </c>
      <c r="E323" t="str">
        <f>_xlfn.XLOOKUP(Tabla36[[#This Row],[Product ID]],Tabla44[[#This Row],[product_id]],Tabla44[[#This Row],[category]])</f>
        <v>Dresses</v>
      </c>
    </row>
    <row r="324" spans="1:5" x14ac:dyDescent="0.3">
      <c r="A324" t="s">
        <v>8</v>
      </c>
      <c r="B324">
        <v>323</v>
      </c>
      <c r="C324">
        <v>70</v>
      </c>
      <c r="D324" t="str">
        <f>_xlfn.XLOOKUP(Tabla36[[#This Row],[Product ID]],Tabla44[[#This Row],[product_id]],Tabla44[[#This Row],[product_name]])</f>
        <v>Tailored Wrap Tee</v>
      </c>
      <c r="E324" t="str">
        <f>_xlfn.XLOOKUP(Tabla36[[#This Row],[Product ID]],Tabla44[[#This Row],[product_id]],Tabla44[[#This Row],[category]])</f>
        <v>T-Shirts</v>
      </c>
    </row>
    <row r="325" spans="1:5" x14ac:dyDescent="0.3">
      <c r="A325" t="s">
        <v>8</v>
      </c>
      <c r="B325">
        <v>324</v>
      </c>
      <c r="C325">
        <v>57</v>
      </c>
      <c r="D325" t="str">
        <f>_xlfn.XLOOKUP(Tabla36[[#This Row],[Product ID]],Tabla44[[#This Row],[product_id]],Tabla44[[#This Row],[product_name]])</f>
        <v>Tailored Linen Tee</v>
      </c>
      <c r="E325" t="str">
        <f>_xlfn.XLOOKUP(Tabla36[[#This Row],[Product ID]],Tabla44[[#This Row],[product_id]],Tabla44[[#This Row],[category]])</f>
        <v>T-Shirts</v>
      </c>
    </row>
    <row r="326" spans="1:5" x14ac:dyDescent="0.3">
      <c r="A326" t="s">
        <v>8</v>
      </c>
      <c r="B326">
        <v>325</v>
      </c>
      <c r="C326">
        <v>28</v>
      </c>
      <c r="D326" t="str">
        <f>_xlfn.XLOOKUP(Tabla36[[#This Row],[Product ID]],Tabla44[[#This Row],[product_id]],Tabla44[[#This Row],[product_name]])</f>
        <v>Tailored Linen Shoes</v>
      </c>
      <c r="E326" t="str">
        <f>_xlfn.XLOOKUP(Tabla36[[#This Row],[Product ID]],Tabla44[[#This Row],[product_id]],Tabla44[[#This Row],[category]])</f>
        <v>Shoes</v>
      </c>
    </row>
    <row r="327" spans="1:5" x14ac:dyDescent="0.3">
      <c r="A327" t="s">
        <v>8</v>
      </c>
      <c r="B327">
        <v>326</v>
      </c>
      <c r="C327">
        <v>13</v>
      </c>
      <c r="D327" t="str">
        <f>_xlfn.XLOOKUP(Tabla36[[#This Row],[Product ID]],Tabla44[[#This Row],[product_id]],Tabla44[[#This Row],[product_name]])</f>
        <v>Essential High-Waist Dress</v>
      </c>
      <c r="E327" t="str">
        <f>_xlfn.XLOOKUP(Tabla36[[#This Row],[Product ID]],Tabla44[[#This Row],[product_id]],Tabla44[[#This Row],[category]])</f>
        <v>Dresses</v>
      </c>
    </row>
    <row r="328" spans="1:5" x14ac:dyDescent="0.3">
      <c r="A328" t="s">
        <v>8</v>
      </c>
      <c r="B328">
        <v>327</v>
      </c>
      <c r="C328">
        <v>44</v>
      </c>
      <c r="D328" t="str">
        <f>_xlfn.XLOOKUP(Tabla36[[#This Row],[Product ID]],Tabla44[[#This Row],[product_id]],Tabla44[[#This Row],[product_name]])</f>
        <v>Essential Boxy Dress</v>
      </c>
      <c r="E328" t="str">
        <f>_xlfn.XLOOKUP(Tabla36[[#This Row],[Product ID]],Tabla44[[#This Row],[product_id]],Tabla44[[#This Row],[category]])</f>
        <v>Dresses</v>
      </c>
    </row>
    <row r="329" spans="1:5" x14ac:dyDescent="0.3">
      <c r="A329" t="s">
        <v>8</v>
      </c>
      <c r="B329">
        <v>328</v>
      </c>
      <c r="C329">
        <v>73</v>
      </c>
      <c r="D329" t="str">
        <f>_xlfn.XLOOKUP(Tabla36[[#This Row],[Product ID]],Tabla44[[#This Row],[product_id]],Tabla44[[#This Row],[product_name]])</f>
        <v>Tailored Wrap Dress</v>
      </c>
      <c r="E329" t="str">
        <f>_xlfn.XLOOKUP(Tabla36[[#This Row],[Product ID]],Tabla44[[#This Row],[product_id]],Tabla44[[#This Row],[category]])</f>
        <v>Dresses</v>
      </c>
    </row>
    <row r="330" spans="1:5" x14ac:dyDescent="0.3">
      <c r="A330" t="s">
        <v>8</v>
      </c>
      <c r="B330">
        <v>329</v>
      </c>
      <c r="C330">
        <v>58</v>
      </c>
      <c r="D330" t="str">
        <f>_xlfn.XLOOKUP(Tabla36[[#This Row],[Product ID]],Tabla44[[#This Row],[product_id]],Tabla44[[#This Row],[product_name]])</f>
        <v>Relaxed Boxy Set</v>
      </c>
      <c r="E330" t="str">
        <f>_xlfn.XLOOKUP(Tabla36[[#This Row],[Product ID]],Tabla44[[#This Row],[product_id]],Tabla44[[#This Row],[category]])</f>
        <v>Sleepwear</v>
      </c>
    </row>
    <row r="331" spans="1:5" x14ac:dyDescent="0.3">
      <c r="A331" t="s">
        <v>8</v>
      </c>
      <c r="B331">
        <v>330</v>
      </c>
      <c r="C331">
        <v>26</v>
      </c>
      <c r="D331" t="str">
        <f>_xlfn.XLOOKUP(Tabla36[[#This Row],[Product ID]],Tabla44[[#This Row],[product_id]],Tabla44[[#This Row],[product_name]])</f>
        <v>Essential Wrap Set</v>
      </c>
      <c r="E331" t="str">
        <f>_xlfn.XLOOKUP(Tabla36[[#This Row],[Product ID]],Tabla44[[#This Row],[product_id]],Tabla44[[#This Row],[category]])</f>
        <v>Sleepwear</v>
      </c>
    </row>
    <row r="332" spans="1:5" x14ac:dyDescent="0.3">
      <c r="A332" t="s">
        <v>8</v>
      </c>
      <c r="B332">
        <v>331</v>
      </c>
      <c r="C332">
        <v>53</v>
      </c>
      <c r="D332" t="str">
        <f>_xlfn.XLOOKUP(Tabla36[[#This Row],[Product ID]],Tabla44[[#This Row],[product_id]],Tabla44[[#This Row],[product_name]])</f>
        <v>Relaxed Satin Trousers</v>
      </c>
      <c r="E332" t="str">
        <f>_xlfn.XLOOKUP(Tabla36[[#This Row],[Product ID]],Tabla44[[#This Row],[product_id]],Tabla44[[#This Row],[category]])</f>
        <v>Pants</v>
      </c>
    </row>
    <row r="333" spans="1:5" x14ac:dyDescent="0.3">
      <c r="A333" t="s">
        <v>8</v>
      </c>
      <c r="B333">
        <v>332</v>
      </c>
      <c r="C333">
        <v>3</v>
      </c>
      <c r="D333" t="str">
        <f>_xlfn.XLOOKUP(Tabla36[[#This Row],[Product ID]],Tabla44[[#This Row],[product_id]],Tabla44[[#This Row],[product_name]])</f>
        <v>Tailored Linen Dress</v>
      </c>
      <c r="E333" t="str">
        <f>_xlfn.XLOOKUP(Tabla36[[#This Row],[Product ID]],Tabla44[[#This Row],[product_id]],Tabla44[[#This Row],[category]])</f>
        <v>Dresses</v>
      </c>
    </row>
    <row r="334" spans="1:5" x14ac:dyDescent="0.3">
      <c r="A334" t="s">
        <v>8</v>
      </c>
      <c r="B334">
        <v>333</v>
      </c>
      <c r="C334">
        <v>55</v>
      </c>
      <c r="D334" t="str">
        <f>_xlfn.XLOOKUP(Tabla36[[#This Row],[Product ID]],Tabla44[[#This Row],[product_id]],Tabla44[[#This Row],[product_name]])</f>
        <v>Relaxed Silk Trousers</v>
      </c>
      <c r="E334" t="str">
        <f>_xlfn.XLOOKUP(Tabla36[[#This Row],[Product ID]],Tabla44[[#This Row],[product_id]],Tabla44[[#This Row],[category]])</f>
        <v>Pants</v>
      </c>
    </row>
    <row r="335" spans="1:5" x14ac:dyDescent="0.3">
      <c r="A335" t="s">
        <v>8</v>
      </c>
      <c r="B335">
        <v>334</v>
      </c>
      <c r="C335">
        <v>15</v>
      </c>
      <c r="D335" t="str">
        <f>_xlfn.XLOOKUP(Tabla36[[#This Row],[Product ID]],Tabla44[[#This Row],[product_id]],Tabla44[[#This Row],[product_name]])</f>
        <v>Tailored Ribbed Dress</v>
      </c>
      <c r="E335" t="str">
        <f>_xlfn.XLOOKUP(Tabla36[[#This Row],[Product ID]],Tabla44[[#This Row],[product_id]],Tabla44[[#This Row],[category]])</f>
        <v>Dresses</v>
      </c>
    </row>
    <row r="336" spans="1:5" x14ac:dyDescent="0.3">
      <c r="A336" t="s">
        <v>8</v>
      </c>
      <c r="B336">
        <v>335</v>
      </c>
      <c r="C336">
        <v>46</v>
      </c>
      <c r="D336" t="str">
        <f>_xlfn.XLOOKUP(Tabla36[[#This Row],[Product ID]],Tabla44[[#This Row],[product_id]],Tabla44[[#This Row],[product_name]])</f>
        <v>Tailored Ribbed Shoes</v>
      </c>
      <c r="E336" t="str">
        <f>_xlfn.XLOOKUP(Tabla36[[#This Row],[Product ID]],Tabla44[[#This Row],[product_id]],Tabla44[[#This Row],[category]])</f>
        <v>Shoes</v>
      </c>
    </row>
    <row r="337" spans="1:5" x14ac:dyDescent="0.3">
      <c r="A337" t="s">
        <v>8</v>
      </c>
      <c r="B337">
        <v>336</v>
      </c>
      <c r="C337">
        <v>33</v>
      </c>
      <c r="D337" t="str">
        <f>_xlfn.XLOOKUP(Tabla36[[#This Row],[Product ID]],Tabla44[[#This Row],[product_id]],Tabla44[[#This Row],[product_name]])</f>
        <v>Tailored Ribbed Tee</v>
      </c>
      <c r="E337" t="str">
        <f>_xlfn.XLOOKUP(Tabla36[[#This Row],[Product ID]],Tabla44[[#This Row],[product_id]],Tabla44[[#This Row],[category]])</f>
        <v>T-Shirts</v>
      </c>
    </row>
    <row r="338" spans="1:5" x14ac:dyDescent="0.3">
      <c r="A338" t="s">
        <v>8</v>
      </c>
      <c r="B338">
        <v>337</v>
      </c>
      <c r="C338">
        <v>55</v>
      </c>
      <c r="D338" t="str">
        <f>_xlfn.XLOOKUP(Tabla36[[#This Row],[Product ID]],Tabla44[[#This Row],[product_id]],Tabla44[[#This Row],[product_name]])</f>
        <v>Essential Linen Set</v>
      </c>
      <c r="E338" t="str">
        <f>_xlfn.XLOOKUP(Tabla36[[#This Row],[Product ID]],Tabla44[[#This Row],[product_id]],Tabla44[[#This Row],[category]])</f>
        <v>Sleepwear</v>
      </c>
    </row>
    <row r="339" spans="1:5" x14ac:dyDescent="0.3">
      <c r="A339" t="s">
        <v>8</v>
      </c>
      <c r="B339">
        <v>338</v>
      </c>
      <c r="C339">
        <v>62</v>
      </c>
      <c r="D339" t="str">
        <f>_xlfn.XLOOKUP(Tabla36[[#This Row],[Product ID]],Tabla44[[#This Row],[product_id]],Tabla44[[#This Row],[product_name]])</f>
        <v>Essential Ribbed Set</v>
      </c>
      <c r="E339" t="str">
        <f>_xlfn.XLOOKUP(Tabla36[[#This Row],[Product ID]],Tabla44[[#This Row],[product_id]],Tabla44[[#This Row],[category]])</f>
        <v>Sleepwear</v>
      </c>
    </row>
    <row r="340" spans="1:5" x14ac:dyDescent="0.3">
      <c r="A340" t="s">
        <v>8</v>
      </c>
      <c r="B340">
        <v>339</v>
      </c>
      <c r="C340">
        <v>69</v>
      </c>
      <c r="D340" t="str">
        <f>_xlfn.XLOOKUP(Tabla36[[#This Row],[Product ID]],Tabla44[[#This Row],[product_id]],Tabla44[[#This Row],[product_name]])</f>
        <v>Tailored Cotton Tee</v>
      </c>
      <c r="E340" t="str">
        <f>_xlfn.XLOOKUP(Tabla36[[#This Row],[Product ID]],Tabla44[[#This Row],[product_id]],Tabla44[[#This Row],[category]])</f>
        <v>T-Shirts</v>
      </c>
    </row>
    <row r="341" spans="1:5" x14ac:dyDescent="0.3">
      <c r="A341" t="s">
        <v>8</v>
      </c>
      <c r="B341">
        <v>340</v>
      </c>
      <c r="C341">
        <v>72</v>
      </c>
      <c r="D341" t="str">
        <f>_xlfn.XLOOKUP(Tabla36[[#This Row],[Product ID]],Tabla44[[#This Row],[product_id]],Tabla44[[#This Row],[product_name]])</f>
        <v>Tailored Cotton Shoes</v>
      </c>
      <c r="E341" t="str">
        <f>_xlfn.XLOOKUP(Tabla36[[#This Row],[Product ID]],Tabla44[[#This Row],[product_id]],Tabla44[[#This Row],[category]])</f>
        <v>Shoes</v>
      </c>
    </row>
    <row r="342" spans="1:5" x14ac:dyDescent="0.3">
      <c r="A342" t="s">
        <v>8</v>
      </c>
      <c r="B342">
        <v>341</v>
      </c>
      <c r="C342">
        <v>4</v>
      </c>
      <c r="D342" t="str">
        <f>_xlfn.XLOOKUP(Tabla36[[#This Row],[Product ID]],Tabla44[[#This Row],[product_id]],Tabla44[[#This Row],[product_name]])</f>
        <v>Essential Cotton Set</v>
      </c>
      <c r="E342" t="str">
        <f>_xlfn.XLOOKUP(Tabla36[[#This Row],[Product ID]],Tabla44[[#This Row],[product_id]],Tabla44[[#This Row],[category]])</f>
        <v>Sleepwear</v>
      </c>
    </row>
    <row r="343" spans="1:5" x14ac:dyDescent="0.3">
      <c r="A343" t="s">
        <v>8</v>
      </c>
      <c r="B343">
        <v>342</v>
      </c>
      <c r="C343">
        <v>41</v>
      </c>
      <c r="D343" t="str">
        <f>_xlfn.XLOOKUP(Tabla36[[#This Row],[Product ID]],Tabla44[[#This Row],[product_id]],Tabla44[[#This Row],[product_name]])</f>
        <v>Essential Satin Set</v>
      </c>
      <c r="E343" t="str">
        <f>_xlfn.XLOOKUP(Tabla36[[#This Row],[Product ID]],Tabla44[[#This Row],[product_id]],Tabla44[[#This Row],[category]])</f>
        <v>Sleepwear</v>
      </c>
    </row>
    <row r="344" spans="1:5" x14ac:dyDescent="0.3">
      <c r="A344" t="s">
        <v>8</v>
      </c>
      <c r="B344">
        <v>343</v>
      </c>
      <c r="C344">
        <v>96</v>
      </c>
      <c r="D344" t="str">
        <f>_xlfn.XLOOKUP(Tabla36[[#This Row],[Product ID]],Tabla44[[#This Row],[product_id]],Tabla44[[#This Row],[product_name]])</f>
        <v>Tailored Satin Tee</v>
      </c>
      <c r="E344" t="str">
        <f>_xlfn.XLOOKUP(Tabla36[[#This Row],[Product ID]],Tabla44[[#This Row],[product_id]],Tabla44[[#This Row],[category]])</f>
        <v>T-Shirts</v>
      </c>
    </row>
    <row r="345" spans="1:5" x14ac:dyDescent="0.3">
      <c r="A345" t="s">
        <v>8</v>
      </c>
      <c r="B345">
        <v>344</v>
      </c>
      <c r="C345">
        <v>3</v>
      </c>
      <c r="D345" t="str">
        <f>_xlfn.XLOOKUP(Tabla36[[#This Row],[Product ID]],Tabla44[[#This Row],[product_id]],Tabla44[[#This Row],[product_name]])</f>
        <v>Tailored Silk Tee</v>
      </c>
      <c r="E345" t="str">
        <f>_xlfn.XLOOKUP(Tabla36[[#This Row],[Product ID]],Tabla44[[#This Row],[product_id]],Tabla44[[#This Row],[category]])</f>
        <v>T-Shirts</v>
      </c>
    </row>
    <row r="346" spans="1:5" x14ac:dyDescent="0.3">
      <c r="A346" t="s">
        <v>8</v>
      </c>
      <c r="B346">
        <v>345</v>
      </c>
      <c r="C346">
        <v>76</v>
      </c>
      <c r="D346" t="str">
        <f>_xlfn.XLOOKUP(Tabla36[[#This Row],[Product ID]],Tabla44[[#This Row],[product_id]],Tabla44[[#This Row],[product_name]])</f>
        <v>Tailored Crew Tee</v>
      </c>
      <c r="E346" t="str">
        <f>_xlfn.XLOOKUP(Tabla36[[#This Row],[Product ID]],Tabla44[[#This Row],[product_id]],Tabla44[[#This Row],[category]])</f>
        <v>T-Shirts</v>
      </c>
    </row>
    <row r="347" spans="1:5" x14ac:dyDescent="0.3">
      <c r="A347" t="s">
        <v>8</v>
      </c>
      <c r="B347">
        <v>346</v>
      </c>
      <c r="C347">
        <v>27</v>
      </c>
      <c r="D347" t="str">
        <f>_xlfn.XLOOKUP(Tabla36[[#This Row],[Product ID]],Tabla44[[#This Row],[product_id]],Tabla44[[#This Row],[product_name]])</f>
        <v>Relaxed Crew Trousers</v>
      </c>
      <c r="E347" t="str">
        <f>_xlfn.XLOOKUP(Tabla36[[#This Row],[Product ID]],Tabla44[[#This Row],[product_id]],Tabla44[[#This Row],[category]])</f>
        <v>Pants</v>
      </c>
    </row>
    <row r="348" spans="1:5" x14ac:dyDescent="0.3">
      <c r="A348" t="s">
        <v>8</v>
      </c>
      <c r="B348">
        <v>347</v>
      </c>
      <c r="C348">
        <v>34</v>
      </c>
      <c r="D348" t="str">
        <f>_xlfn.XLOOKUP(Tabla36[[#This Row],[Product ID]],Tabla44[[#This Row],[product_id]],Tabla44[[#This Row],[product_name]])</f>
        <v>Tailored Sleeveless Tee</v>
      </c>
      <c r="E348" t="str">
        <f>_xlfn.XLOOKUP(Tabla36[[#This Row],[Product ID]],Tabla44[[#This Row],[product_id]],Tabla44[[#This Row],[category]])</f>
        <v>T-Shirts</v>
      </c>
    </row>
    <row r="349" spans="1:5" x14ac:dyDescent="0.3">
      <c r="A349" t="s">
        <v>8</v>
      </c>
      <c r="B349">
        <v>348</v>
      </c>
      <c r="C349">
        <v>63</v>
      </c>
      <c r="D349" t="str">
        <f>_xlfn.XLOOKUP(Tabla36[[#This Row],[Product ID]],Tabla44[[#This Row],[product_id]],Tabla44[[#This Row],[product_name]])</f>
        <v>Essential Silk Set</v>
      </c>
      <c r="E349" t="str">
        <f>_xlfn.XLOOKUP(Tabla36[[#This Row],[Product ID]],Tabla44[[#This Row],[product_id]],Tabla44[[#This Row],[category]])</f>
        <v>Sleepwear</v>
      </c>
    </row>
    <row r="350" spans="1:5" x14ac:dyDescent="0.3">
      <c r="A350" t="s">
        <v>8</v>
      </c>
      <c r="B350">
        <v>349</v>
      </c>
      <c r="C350">
        <v>67</v>
      </c>
      <c r="D350" t="str">
        <f>_xlfn.XLOOKUP(Tabla36[[#This Row],[Product ID]],Tabla44[[#This Row],[product_id]],Tabla44[[#This Row],[product_name]])</f>
        <v>Tailored Satin Shoes</v>
      </c>
      <c r="E350" t="str">
        <f>_xlfn.XLOOKUP(Tabla36[[#This Row],[Product ID]],Tabla44[[#This Row],[product_id]],Tabla44[[#This Row],[category]])</f>
        <v>Shoes</v>
      </c>
    </row>
    <row r="351" spans="1:5" x14ac:dyDescent="0.3">
      <c r="A351" t="s">
        <v>8</v>
      </c>
      <c r="B351">
        <v>350</v>
      </c>
      <c r="C351">
        <v>76</v>
      </c>
      <c r="D351" t="str">
        <f>_xlfn.XLOOKUP(Tabla36[[#This Row],[Product ID]],Tabla44[[#This Row],[product_id]],Tabla44[[#This Row],[product_name]])</f>
        <v>Essential Crew Set</v>
      </c>
      <c r="E351" t="str">
        <f>_xlfn.XLOOKUP(Tabla36[[#This Row],[Product ID]],Tabla44[[#This Row],[product_id]],Tabla44[[#This Row],[category]])</f>
        <v>Sleepwear</v>
      </c>
    </row>
    <row r="352" spans="1:5" x14ac:dyDescent="0.3">
      <c r="A352" t="s">
        <v>8</v>
      </c>
      <c r="B352">
        <v>351</v>
      </c>
      <c r="C352">
        <v>55</v>
      </c>
      <c r="D352" t="str">
        <f>_xlfn.XLOOKUP(Tabla36[[#This Row],[Product ID]],Tabla44[[#This Row],[product_id]],Tabla44[[#This Row],[product_name]])</f>
        <v>Relaxed Sleeveless Trousers</v>
      </c>
      <c r="E352" t="str">
        <f>_xlfn.XLOOKUP(Tabla36[[#This Row],[Product ID]],Tabla44[[#This Row],[product_id]],Tabla44[[#This Row],[category]])</f>
        <v>Pants</v>
      </c>
    </row>
    <row r="353" spans="1:5" x14ac:dyDescent="0.3">
      <c r="A353" t="s">
        <v>8</v>
      </c>
      <c r="B353">
        <v>352</v>
      </c>
      <c r="C353">
        <v>33</v>
      </c>
      <c r="D353" t="str">
        <f>_xlfn.XLOOKUP(Tabla36[[#This Row],[Product ID]],Tabla44[[#This Row],[product_id]],Tabla44[[#This Row],[product_name]])</f>
        <v>Essential Sleeveless Set</v>
      </c>
      <c r="E353" t="str">
        <f>_xlfn.XLOOKUP(Tabla36[[#This Row],[Product ID]],Tabla44[[#This Row],[product_id]],Tabla44[[#This Row],[category]])</f>
        <v>Sleepwear</v>
      </c>
    </row>
    <row r="354" spans="1:5" x14ac:dyDescent="0.3">
      <c r="A354" t="s">
        <v>8</v>
      </c>
      <c r="B354">
        <v>353</v>
      </c>
      <c r="C354">
        <v>41</v>
      </c>
      <c r="D354" t="str">
        <f>_xlfn.XLOOKUP(Tabla36[[#This Row],[Product ID]],Tabla44[[#This Row],[product_id]],Tabla44[[#This Row],[product_name]])</f>
        <v>Relaxed High-Waist Trousers</v>
      </c>
      <c r="E354" t="str">
        <f>_xlfn.XLOOKUP(Tabla36[[#This Row],[Product ID]],Tabla44[[#This Row],[product_id]],Tabla44[[#This Row],[category]])</f>
        <v>Pants</v>
      </c>
    </row>
    <row r="355" spans="1:5" x14ac:dyDescent="0.3">
      <c r="A355" t="s">
        <v>8</v>
      </c>
      <c r="B355">
        <v>354</v>
      </c>
      <c r="C355">
        <v>4</v>
      </c>
      <c r="D355" t="str">
        <f>_xlfn.XLOOKUP(Tabla36[[#This Row],[Product ID]],Tabla44[[#This Row],[product_id]],Tabla44[[#This Row],[product_name]])</f>
        <v>Tailored High-Waist Tee</v>
      </c>
      <c r="E355" t="str">
        <f>_xlfn.XLOOKUP(Tabla36[[#This Row],[Product ID]],Tabla44[[#This Row],[product_id]],Tabla44[[#This Row],[category]])</f>
        <v>T-Shirts</v>
      </c>
    </row>
    <row r="356" spans="1:5" x14ac:dyDescent="0.3">
      <c r="A356" t="s">
        <v>8</v>
      </c>
      <c r="B356">
        <v>355</v>
      </c>
      <c r="C356">
        <v>95</v>
      </c>
      <c r="D356" t="str">
        <f>_xlfn.XLOOKUP(Tabla36[[#This Row],[Product ID]],Tabla44[[#This Row],[product_id]],Tabla44[[#This Row],[product_name]])</f>
        <v>Relaxed Boxy Trousers</v>
      </c>
      <c r="E356" t="str">
        <f>_xlfn.XLOOKUP(Tabla36[[#This Row],[Product ID]],Tabla44[[#This Row],[product_id]],Tabla44[[#This Row],[category]])</f>
        <v>Pants</v>
      </c>
    </row>
    <row r="357" spans="1:5" x14ac:dyDescent="0.3">
      <c r="A357" t="s">
        <v>8</v>
      </c>
      <c r="B357">
        <v>356</v>
      </c>
      <c r="C357">
        <v>32</v>
      </c>
      <c r="D357" t="str">
        <f>_xlfn.XLOOKUP(Tabla36[[#This Row],[Product ID]],Tabla44[[#This Row],[product_id]],Tabla44[[#This Row],[product_name]])</f>
        <v>Essential High-Waist Set</v>
      </c>
      <c r="E357" t="str">
        <f>_xlfn.XLOOKUP(Tabla36[[#This Row],[Product ID]],Tabla44[[#This Row],[product_id]],Tabla44[[#This Row],[category]])</f>
        <v>Sleepwear</v>
      </c>
    </row>
    <row r="358" spans="1:5" x14ac:dyDescent="0.3">
      <c r="A358" t="s">
        <v>8</v>
      </c>
      <c r="B358">
        <v>357</v>
      </c>
      <c r="C358">
        <v>75</v>
      </c>
      <c r="D358" t="str">
        <f>_xlfn.XLOOKUP(Tabla36[[#This Row],[Product ID]],Tabla44[[#This Row],[product_id]],Tabla44[[#This Row],[product_name]])</f>
        <v>Essential Boxy Set</v>
      </c>
      <c r="E358" t="str">
        <f>_xlfn.XLOOKUP(Tabla36[[#This Row],[Product ID]],Tabla44[[#This Row],[product_id]],Tabla44[[#This Row],[category]])</f>
        <v>Sleepwear</v>
      </c>
    </row>
    <row r="359" spans="1:5" x14ac:dyDescent="0.3">
      <c r="A359" t="s">
        <v>8</v>
      </c>
      <c r="B359">
        <v>358</v>
      </c>
      <c r="C359">
        <v>2</v>
      </c>
      <c r="D359" t="str">
        <f>_xlfn.XLOOKUP(Tabla36[[#This Row],[Product ID]],Tabla44[[#This Row],[product_id]],Tabla44[[#This Row],[product_name]])</f>
        <v>Tailored Wrap Set</v>
      </c>
      <c r="E359" t="str">
        <f>_xlfn.XLOOKUP(Tabla36[[#This Row],[Product ID]],Tabla44[[#This Row],[product_id]],Tabla44[[#This Row],[category]])</f>
        <v>Sleepwear</v>
      </c>
    </row>
    <row r="360" spans="1:5" x14ac:dyDescent="0.3">
      <c r="A360" t="s">
        <v>8</v>
      </c>
      <c r="B360">
        <v>359</v>
      </c>
      <c r="C360">
        <v>11</v>
      </c>
      <c r="D360" t="str">
        <f>_xlfn.XLOOKUP(Tabla36[[#This Row],[Product ID]],Tabla44[[#This Row],[product_id]],Tabla44[[#This Row],[product_name]])</f>
        <v>Tailored Silk Shoes</v>
      </c>
      <c r="E360" t="str">
        <f>_xlfn.XLOOKUP(Tabla36[[#This Row],[Product ID]],Tabla44[[#This Row],[product_id]],Tabla44[[#This Row],[category]])</f>
        <v>Shoes</v>
      </c>
    </row>
    <row r="361" spans="1:5" x14ac:dyDescent="0.3">
      <c r="A361" t="s">
        <v>8</v>
      </c>
      <c r="B361">
        <v>360</v>
      </c>
      <c r="C361">
        <v>99</v>
      </c>
      <c r="D361" t="str">
        <f>_xlfn.XLOOKUP(Tabla36[[#This Row],[Product ID]],Tabla44[[#This Row],[product_id]],Tabla44[[#This Row],[product_name]])</f>
        <v>Tailored Boxy Tee</v>
      </c>
      <c r="E361" t="str">
        <f>_xlfn.XLOOKUP(Tabla36[[#This Row],[Product ID]],Tabla44[[#This Row],[product_id]],Tabla44[[#This Row],[category]])</f>
        <v>T-Shirts</v>
      </c>
    </row>
    <row r="362" spans="1:5" x14ac:dyDescent="0.3">
      <c r="A362" t="s">
        <v>8</v>
      </c>
      <c r="B362">
        <v>361</v>
      </c>
      <c r="C362">
        <v>26</v>
      </c>
      <c r="D362" t="str">
        <f>_xlfn.XLOOKUP(Tabla36[[#This Row],[Product ID]],Tabla44[[#This Row],[product_id]],Tabla44[[#This Row],[product_name]])</f>
        <v>Tailored Linen Set</v>
      </c>
      <c r="E362" t="str">
        <f>_xlfn.XLOOKUP(Tabla36[[#This Row],[Product ID]],Tabla44[[#This Row],[product_id]],Tabla44[[#This Row],[category]])</f>
        <v>Sleepwear</v>
      </c>
    </row>
    <row r="363" spans="1:5" x14ac:dyDescent="0.3">
      <c r="A363" t="s">
        <v>8</v>
      </c>
      <c r="B363">
        <v>362</v>
      </c>
      <c r="C363">
        <v>42</v>
      </c>
      <c r="D363" t="str">
        <f>_xlfn.XLOOKUP(Tabla36[[#This Row],[Product ID]],Tabla44[[#This Row],[product_id]],Tabla44[[#This Row],[product_name]])</f>
        <v>Tailored Ribbed Set</v>
      </c>
      <c r="E363" t="str">
        <f>_xlfn.XLOOKUP(Tabla36[[#This Row],[Product ID]],Tabla44[[#This Row],[product_id]],Tabla44[[#This Row],[category]])</f>
        <v>Sleepwear</v>
      </c>
    </row>
    <row r="364" spans="1:5" x14ac:dyDescent="0.3">
      <c r="A364" t="s">
        <v>8</v>
      </c>
      <c r="B364">
        <v>363</v>
      </c>
      <c r="C364">
        <v>18</v>
      </c>
      <c r="D364" t="str">
        <f>_xlfn.XLOOKUP(Tabla36[[#This Row],[Product ID]],Tabla44[[#This Row],[product_id]],Tabla44[[#This Row],[product_name]])</f>
        <v>Tailored Cotton Dress</v>
      </c>
      <c r="E364" t="str">
        <f>_xlfn.XLOOKUP(Tabla36[[#This Row],[Product ID]],Tabla44[[#This Row],[product_id]],Tabla44[[#This Row],[category]])</f>
        <v>Dresses</v>
      </c>
    </row>
    <row r="365" spans="1:5" x14ac:dyDescent="0.3">
      <c r="A365" t="s">
        <v>8</v>
      </c>
      <c r="B365">
        <v>364</v>
      </c>
      <c r="C365">
        <v>52</v>
      </c>
      <c r="D365" t="str">
        <f>_xlfn.XLOOKUP(Tabla36[[#This Row],[Product ID]],Tabla44[[#This Row],[product_id]],Tabla44[[#This Row],[product_name]])</f>
        <v>Tailored Satin Dress</v>
      </c>
      <c r="E365" t="str">
        <f>_xlfn.XLOOKUP(Tabla36[[#This Row],[Product ID]],Tabla44[[#This Row],[product_id]],Tabla44[[#This Row],[category]])</f>
        <v>Dresses</v>
      </c>
    </row>
    <row r="366" spans="1:5" x14ac:dyDescent="0.3">
      <c r="A366" t="s">
        <v>8</v>
      </c>
      <c r="B366">
        <v>365</v>
      </c>
      <c r="C366">
        <v>57</v>
      </c>
      <c r="D366" t="str">
        <f>_xlfn.XLOOKUP(Tabla36[[#This Row],[Product ID]],Tabla44[[#This Row],[product_id]],Tabla44[[#This Row],[product_name]])</f>
        <v>Elegant Wrap Tee</v>
      </c>
      <c r="E366" t="str">
        <f>_xlfn.XLOOKUP(Tabla36[[#This Row],[Product ID]],Tabla44[[#This Row],[product_id]],Tabla44[[#This Row],[category]])</f>
        <v>T-Shirts</v>
      </c>
    </row>
    <row r="367" spans="1:5" x14ac:dyDescent="0.3">
      <c r="A367" t="s">
        <v>8</v>
      </c>
      <c r="B367">
        <v>366</v>
      </c>
      <c r="C367">
        <v>48</v>
      </c>
      <c r="D367" t="str">
        <f>_xlfn.XLOOKUP(Tabla36[[#This Row],[Product ID]],Tabla44[[#This Row],[product_id]],Tabla44[[#This Row],[product_name]])</f>
        <v>Essential Wrap Trousers</v>
      </c>
      <c r="E367" t="str">
        <f>_xlfn.XLOOKUP(Tabla36[[#This Row],[Product ID]],Tabla44[[#This Row],[product_id]],Tabla44[[#This Row],[category]])</f>
        <v>Pants</v>
      </c>
    </row>
    <row r="368" spans="1:5" x14ac:dyDescent="0.3">
      <c r="A368" t="s">
        <v>8</v>
      </c>
      <c r="B368">
        <v>367</v>
      </c>
      <c r="C368">
        <v>51</v>
      </c>
      <c r="D368" t="str">
        <f>_xlfn.XLOOKUP(Tabla36[[#This Row],[Product ID]],Tabla44[[#This Row],[product_id]],Tabla44[[#This Row],[product_name]])</f>
        <v>Tailored Silk Dress</v>
      </c>
      <c r="E368" t="str">
        <f>_xlfn.XLOOKUP(Tabla36[[#This Row],[Product ID]],Tabla44[[#This Row],[product_id]],Tabla44[[#This Row],[category]])</f>
        <v>Dresses</v>
      </c>
    </row>
    <row r="369" spans="1:5" x14ac:dyDescent="0.3">
      <c r="A369" t="s">
        <v>8</v>
      </c>
      <c r="B369">
        <v>368</v>
      </c>
      <c r="C369">
        <v>35</v>
      </c>
      <c r="D369" t="str">
        <f>_xlfn.XLOOKUP(Tabla36[[#This Row],[Product ID]],Tabla44[[#This Row],[product_id]],Tabla44[[#This Row],[product_name]])</f>
        <v>Elegant Linen Tee</v>
      </c>
      <c r="E369" t="str">
        <f>_xlfn.XLOOKUP(Tabla36[[#This Row],[Product ID]],Tabla44[[#This Row],[product_id]],Tabla44[[#This Row],[category]])</f>
        <v>T-Shirts</v>
      </c>
    </row>
    <row r="370" spans="1:5" x14ac:dyDescent="0.3">
      <c r="A370" t="s">
        <v>8</v>
      </c>
      <c r="B370">
        <v>369</v>
      </c>
      <c r="C370">
        <v>59</v>
      </c>
      <c r="D370" t="str">
        <f>_xlfn.XLOOKUP(Tabla36[[#This Row],[Product ID]],Tabla44[[#This Row],[product_id]],Tabla44[[#This Row],[product_name]])</f>
        <v>Tailored Crew Dress</v>
      </c>
      <c r="E370" t="str">
        <f>_xlfn.XLOOKUP(Tabla36[[#This Row],[Product ID]],Tabla44[[#This Row],[product_id]],Tabla44[[#This Row],[category]])</f>
        <v>Dresses</v>
      </c>
    </row>
    <row r="371" spans="1:5" x14ac:dyDescent="0.3">
      <c r="A371" t="s">
        <v>8</v>
      </c>
      <c r="B371">
        <v>370</v>
      </c>
      <c r="C371">
        <v>2</v>
      </c>
      <c r="D371" t="str">
        <f>_xlfn.XLOOKUP(Tabla36[[#This Row],[Product ID]],Tabla44[[#This Row],[product_id]],Tabla44[[#This Row],[product_name]])</f>
        <v>Elegant Ribbed Tee</v>
      </c>
      <c r="E371" t="str">
        <f>_xlfn.XLOOKUP(Tabla36[[#This Row],[Product ID]],Tabla44[[#This Row],[product_id]],Tabla44[[#This Row],[category]])</f>
        <v>T-Shirts</v>
      </c>
    </row>
    <row r="372" spans="1:5" x14ac:dyDescent="0.3">
      <c r="A372" t="s">
        <v>8</v>
      </c>
      <c r="B372">
        <v>371</v>
      </c>
      <c r="C372">
        <v>33</v>
      </c>
      <c r="D372" t="str">
        <f>_xlfn.XLOOKUP(Tabla36[[#This Row],[Product ID]],Tabla44[[#This Row],[product_id]],Tabla44[[#This Row],[product_name]])</f>
        <v>Elegant Cotton Tee</v>
      </c>
      <c r="E372" t="str">
        <f>_xlfn.XLOOKUP(Tabla36[[#This Row],[Product ID]],Tabla44[[#This Row],[product_id]],Tabla44[[#This Row],[category]])</f>
        <v>T-Shirts</v>
      </c>
    </row>
    <row r="373" spans="1:5" x14ac:dyDescent="0.3">
      <c r="A373" t="s">
        <v>8</v>
      </c>
      <c r="B373">
        <v>372</v>
      </c>
      <c r="C373">
        <v>22</v>
      </c>
      <c r="D373" t="str">
        <f>_xlfn.XLOOKUP(Tabla36[[#This Row],[Product ID]],Tabla44[[#This Row],[product_id]],Tabla44[[#This Row],[product_name]])</f>
        <v>Essential Linen Trousers</v>
      </c>
      <c r="E373" t="str">
        <f>_xlfn.XLOOKUP(Tabla36[[#This Row],[Product ID]],Tabla44[[#This Row],[product_id]],Tabla44[[#This Row],[category]])</f>
        <v>Pants</v>
      </c>
    </row>
    <row r="374" spans="1:5" x14ac:dyDescent="0.3">
      <c r="A374" t="s">
        <v>8</v>
      </c>
      <c r="B374">
        <v>373</v>
      </c>
      <c r="C374">
        <v>69</v>
      </c>
      <c r="D374" t="str">
        <f>_xlfn.XLOOKUP(Tabla36[[#This Row],[Product ID]],Tabla44[[#This Row],[product_id]],Tabla44[[#This Row],[product_name]])</f>
        <v>Tailored Crew Shoes</v>
      </c>
      <c r="E374" t="str">
        <f>_xlfn.XLOOKUP(Tabla36[[#This Row],[Product ID]],Tabla44[[#This Row],[product_id]],Tabla44[[#This Row],[category]])</f>
        <v>Shoes</v>
      </c>
    </row>
    <row r="375" spans="1:5" x14ac:dyDescent="0.3">
      <c r="A375" t="s">
        <v>8</v>
      </c>
      <c r="B375">
        <v>374</v>
      </c>
      <c r="C375">
        <v>16</v>
      </c>
      <c r="D375" t="str">
        <f>_xlfn.XLOOKUP(Tabla36[[#This Row],[Product ID]],Tabla44[[#This Row],[product_id]],Tabla44[[#This Row],[product_name]])</f>
        <v>Tailored Cotton Set</v>
      </c>
      <c r="E375" t="str">
        <f>_xlfn.XLOOKUP(Tabla36[[#This Row],[Product ID]],Tabla44[[#This Row],[product_id]],Tabla44[[#This Row],[category]])</f>
        <v>Sleepwear</v>
      </c>
    </row>
    <row r="376" spans="1:5" x14ac:dyDescent="0.3">
      <c r="A376" t="s">
        <v>8</v>
      </c>
      <c r="B376">
        <v>375</v>
      </c>
      <c r="C376">
        <v>66</v>
      </c>
      <c r="D376" t="str">
        <f>_xlfn.XLOOKUP(Tabla36[[#This Row],[Product ID]],Tabla44[[#This Row],[product_id]],Tabla44[[#This Row],[product_name]])</f>
        <v>Tailored Sleeveless Shoes</v>
      </c>
      <c r="E376" t="str">
        <f>_xlfn.XLOOKUP(Tabla36[[#This Row],[Product ID]],Tabla44[[#This Row],[product_id]],Tabla44[[#This Row],[category]])</f>
        <v>Shoes</v>
      </c>
    </row>
    <row r="377" spans="1:5" x14ac:dyDescent="0.3">
      <c r="A377" t="s">
        <v>8</v>
      </c>
      <c r="B377">
        <v>376</v>
      </c>
      <c r="C377">
        <v>45</v>
      </c>
      <c r="D377" t="str">
        <f>_xlfn.XLOOKUP(Tabla36[[#This Row],[Product ID]],Tabla44[[#This Row],[product_id]],Tabla44[[#This Row],[product_name]])</f>
        <v>Tailored Satin Set</v>
      </c>
      <c r="E377" t="str">
        <f>_xlfn.XLOOKUP(Tabla36[[#This Row],[Product ID]],Tabla44[[#This Row],[product_id]],Tabla44[[#This Row],[category]])</f>
        <v>Sleepwear</v>
      </c>
    </row>
    <row r="378" spans="1:5" x14ac:dyDescent="0.3">
      <c r="A378" t="s">
        <v>8</v>
      </c>
      <c r="B378">
        <v>377</v>
      </c>
      <c r="C378">
        <v>54</v>
      </c>
      <c r="D378" t="str">
        <f>_xlfn.XLOOKUP(Tabla36[[#This Row],[Product ID]],Tabla44[[#This Row],[product_id]],Tabla44[[#This Row],[product_name]])</f>
        <v>Tailored High-Waist Shoes</v>
      </c>
      <c r="E378" t="str">
        <f>_xlfn.XLOOKUP(Tabla36[[#This Row],[Product ID]],Tabla44[[#This Row],[product_id]],Tabla44[[#This Row],[category]])</f>
        <v>Shoes</v>
      </c>
    </row>
    <row r="379" spans="1:5" x14ac:dyDescent="0.3">
      <c r="A379" t="s">
        <v>8</v>
      </c>
      <c r="B379">
        <v>378</v>
      </c>
      <c r="C379">
        <v>29</v>
      </c>
      <c r="D379" t="str">
        <f>_xlfn.XLOOKUP(Tabla36[[#This Row],[Product ID]],Tabla44[[#This Row],[product_id]],Tabla44[[#This Row],[product_name]])</f>
        <v>Essential Ribbed Trousers</v>
      </c>
      <c r="E379" t="str">
        <f>_xlfn.XLOOKUP(Tabla36[[#This Row],[Product ID]],Tabla44[[#This Row],[product_id]],Tabla44[[#This Row],[category]])</f>
        <v>Pants</v>
      </c>
    </row>
    <row r="380" spans="1:5" x14ac:dyDescent="0.3">
      <c r="A380" t="s">
        <v>8</v>
      </c>
      <c r="B380">
        <v>379</v>
      </c>
      <c r="C380">
        <v>74</v>
      </c>
      <c r="D380" t="str">
        <f>_xlfn.XLOOKUP(Tabla36[[#This Row],[Product ID]],Tabla44[[#This Row],[product_id]],Tabla44[[#This Row],[product_name]])</f>
        <v>Essential Cotton Trousers</v>
      </c>
      <c r="E380" t="str">
        <f>_xlfn.XLOOKUP(Tabla36[[#This Row],[Product ID]],Tabla44[[#This Row],[product_id]],Tabla44[[#This Row],[category]])</f>
        <v>Pants</v>
      </c>
    </row>
    <row r="381" spans="1:5" x14ac:dyDescent="0.3">
      <c r="A381" t="s">
        <v>8</v>
      </c>
      <c r="B381">
        <v>380</v>
      </c>
      <c r="C381">
        <v>17</v>
      </c>
      <c r="D381" t="str">
        <f>_xlfn.XLOOKUP(Tabla36[[#This Row],[Product ID]],Tabla44[[#This Row],[product_id]],Tabla44[[#This Row],[product_name]])</f>
        <v>Tailored Silk Set</v>
      </c>
      <c r="E381" t="str">
        <f>_xlfn.XLOOKUP(Tabla36[[#This Row],[Product ID]],Tabla44[[#This Row],[product_id]],Tabla44[[#This Row],[category]])</f>
        <v>Sleepwear</v>
      </c>
    </row>
    <row r="382" spans="1:5" x14ac:dyDescent="0.3">
      <c r="A382" t="s">
        <v>8</v>
      </c>
      <c r="B382">
        <v>381</v>
      </c>
      <c r="C382">
        <v>25</v>
      </c>
      <c r="D382" t="str">
        <f>_xlfn.XLOOKUP(Tabla36[[#This Row],[Product ID]],Tabla44[[#This Row],[product_id]],Tabla44[[#This Row],[product_name]])</f>
        <v>Elegant Satin Tee</v>
      </c>
      <c r="E382" t="str">
        <f>_xlfn.XLOOKUP(Tabla36[[#This Row],[Product ID]],Tabla44[[#This Row],[product_id]],Tabla44[[#This Row],[category]])</f>
        <v>T-Shirts</v>
      </c>
    </row>
    <row r="383" spans="1:5" x14ac:dyDescent="0.3">
      <c r="A383" t="s">
        <v>8</v>
      </c>
      <c r="B383">
        <v>382</v>
      </c>
      <c r="C383">
        <v>23</v>
      </c>
      <c r="D383" t="str">
        <f>_xlfn.XLOOKUP(Tabla36[[#This Row],[Product ID]],Tabla44[[#This Row],[product_id]],Tabla44[[#This Row],[product_name]])</f>
        <v>Tailored Sleeveless Dress</v>
      </c>
      <c r="E383" t="str">
        <f>_xlfn.XLOOKUP(Tabla36[[#This Row],[Product ID]],Tabla44[[#This Row],[product_id]],Tabla44[[#This Row],[category]])</f>
        <v>Dresses</v>
      </c>
    </row>
    <row r="384" spans="1:5" x14ac:dyDescent="0.3">
      <c r="A384" t="s">
        <v>8</v>
      </c>
      <c r="B384">
        <v>383</v>
      </c>
      <c r="C384">
        <v>85</v>
      </c>
      <c r="D384" t="str">
        <f>_xlfn.XLOOKUP(Tabla36[[#This Row],[Product ID]],Tabla44[[#This Row],[product_id]],Tabla44[[#This Row],[product_name]])</f>
        <v>Tailored Crew Set</v>
      </c>
      <c r="E384" t="str">
        <f>_xlfn.XLOOKUP(Tabla36[[#This Row],[Product ID]],Tabla44[[#This Row],[product_id]],Tabla44[[#This Row],[category]])</f>
        <v>Sleepwear</v>
      </c>
    </row>
    <row r="385" spans="1:5" x14ac:dyDescent="0.3">
      <c r="A385" t="s">
        <v>8</v>
      </c>
      <c r="B385">
        <v>384</v>
      </c>
      <c r="C385">
        <v>96</v>
      </c>
      <c r="D385" t="str">
        <f>_xlfn.XLOOKUP(Tabla36[[#This Row],[Product ID]],Tabla44[[#This Row],[product_id]],Tabla44[[#This Row],[product_name]])</f>
        <v>Tailored Sleeveless Set</v>
      </c>
      <c r="E385" t="str">
        <f>_xlfn.XLOOKUP(Tabla36[[#This Row],[Product ID]],Tabla44[[#This Row],[product_id]],Tabla44[[#This Row],[category]])</f>
        <v>Sleepwear</v>
      </c>
    </row>
    <row r="386" spans="1:5" x14ac:dyDescent="0.3">
      <c r="A386" t="s">
        <v>8</v>
      </c>
      <c r="B386">
        <v>385</v>
      </c>
      <c r="C386">
        <v>24</v>
      </c>
      <c r="D386" t="str">
        <f>_xlfn.XLOOKUP(Tabla36[[#This Row],[Product ID]],Tabla44[[#This Row],[product_id]],Tabla44[[#This Row],[product_name]])</f>
        <v>Essential Satin Trousers</v>
      </c>
      <c r="E386" t="str">
        <f>_xlfn.XLOOKUP(Tabla36[[#This Row],[Product ID]],Tabla44[[#This Row],[product_id]],Tabla44[[#This Row],[category]])</f>
        <v>Pants</v>
      </c>
    </row>
    <row r="387" spans="1:5" x14ac:dyDescent="0.3">
      <c r="A387" t="s">
        <v>8</v>
      </c>
      <c r="B387">
        <v>386</v>
      </c>
      <c r="C387">
        <v>75</v>
      </c>
      <c r="D387" t="str">
        <f>_xlfn.XLOOKUP(Tabla36[[#This Row],[Product ID]],Tabla44[[#This Row],[product_id]],Tabla44[[#This Row],[product_name]])</f>
        <v>Tailored High-Waist Dress</v>
      </c>
      <c r="E387" t="str">
        <f>_xlfn.XLOOKUP(Tabla36[[#This Row],[Product ID]],Tabla44[[#This Row],[product_id]],Tabla44[[#This Row],[category]])</f>
        <v>Dresses</v>
      </c>
    </row>
    <row r="388" spans="1:5" x14ac:dyDescent="0.3">
      <c r="A388" t="s">
        <v>8</v>
      </c>
      <c r="B388">
        <v>387</v>
      </c>
      <c r="C388">
        <v>41</v>
      </c>
      <c r="D388" t="str">
        <f>_xlfn.XLOOKUP(Tabla36[[#This Row],[Product ID]],Tabla44[[#This Row],[product_id]],Tabla44[[#This Row],[product_name]])</f>
        <v>Tailored High-Waist Set</v>
      </c>
      <c r="E388" t="str">
        <f>_xlfn.XLOOKUP(Tabla36[[#This Row],[Product ID]],Tabla44[[#This Row],[product_id]],Tabla44[[#This Row],[category]])</f>
        <v>Sleepwear</v>
      </c>
    </row>
    <row r="389" spans="1:5" x14ac:dyDescent="0.3">
      <c r="A389" t="s">
        <v>8</v>
      </c>
      <c r="B389">
        <v>388</v>
      </c>
      <c r="C389">
        <v>96</v>
      </c>
      <c r="D389" t="str">
        <f>_xlfn.XLOOKUP(Tabla36[[#This Row],[Product ID]],Tabla44[[#This Row],[product_id]],Tabla44[[#This Row],[product_name]])</f>
        <v>Tailored Boxy Dress</v>
      </c>
      <c r="E389" t="str">
        <f>_xlfn.XLOOKUP(Tabla36[[#This Row],[Product ID]],Tabla44[[#This Row],[product_id]],Tabla44[[#This Row],[category]])</f>
        <v>Dresses</v>
      </c>
    </row>
    <row r="390" spans="1:5" x14ac:dyDescent="0.3">
      <c r="A390" t="s">
        <v>8</v>
      </c>
      <c r="B390">
        <v>389</v>
      </c>
      <c r="C390">
        <v>72</v>
      </c>
      <c r="D390" t="str">
        <f>_xlfn.XLOOKUP(Tabla36[[#This Row],[Product ID]],Tabla44[[#This Row],[product_id]],Tabla44[[#This Row],[product_name]])</f>
        <v>Tailored Boxy Set</v>
      </c>
      <c r="E390" t="str">
        <f>_xlfn.XLOOKUP(Tabla36[[#This Row],[Product ID]],Tabla44[[#This Row],[product_id]],Tabla44[[#This Row],[category]])</f>
        <v>Sleepwear</v>
      </c>
    </row>
    <row r="391" spans="1:5" x14ac:dyDescent="0.3">
      <c r="A391" t="s">
        <v>8</v>
      </c>
      <c r="B391">
        <v>390</v>
      </c>
      <c r="C391">
        <v>95</v>
      </c>
      <c r="D391" t="str">
        <f>_xlfn.XLOOKUP(Tabla36[[#This Row],[Product ID]],Tabla44[[#This Row],[product_id]],Tabla44[[#This Row],[product_name]])</f>
        <v>Tailored Boxy Shoes</v>
      </c>
      <c r="E391" t="str">
        <f>_xlfn.XLOOKUP(Tabla36[[#This Row],[Product ID]],Tabla44[[#This Row],[product_id]],Tabla44[[#This Row],[category]])</f>
        <v>Shoes</v>
      </c>
    </row>
    <row r="392" spans="1:5" x14ac:dyDescent="0.3">
      <c r="A392" t="s">
        <v>8</v>
      </c>
      <c r="B392">
        <v>391</v>
      </c>
      <c r="C392">
        <v>60</v>
      </c>
      <c r="D392" t="str">
        <f>_xlfn.XLOOKUP(Tabla36[[#This Row],[Product ID]],Tabla44[[#This Row],[product_id]],Tabla44[[#This Row],[product_name]])</f>
        <v>Elegant Wrap Dress</v>
      </c>
      <c r="E392" t="str">
        <f>_xlfn.XLOOKUP(Tabla36[[#This Row],[Product ID]],Tabla44[[#This Row],[product_id]],Tabla44[[#This Row],[category]])</f>
        <v>Dresses</v>
      </c>
    </row>
    <row r="393" spans="1:5" x14ac:dyDescent="0.3">
      <c r="A393" t="s">
        <v>8</v>
      </c>
      <c r="B393">
        <v>392</v>
      </c>
      <c r="C393">
        <v>34</v>
      </c>
      <c r="D393" t="str">
        <f>_xlfn.XLOOKUP(Tabla36[[#This Row],[Product ID]],Tabla44[[#This Row],[product_id]],Tabla44[[#This Row],[product_name]])</f>
        <v>Elegant Wrap Shoes</v>
      </c>
      <c r="E393" t="str">
        <f>_xlfn.XLOOKUP(Tabla36[[#This Row],[Product ID]],Tabla44[[#This Row],[product_id]],Tabla44[[#This Row],[category]])</f>
        <v>Shoes</v>
      </c>
    </row>
    <row r="394" spans="1:5" x14ac:dyDescent="0.3">
      <c r="A394" t="s">
        <v>8</v>
      </c>
      <c r="B394">
        <v>393</v>
      </c>
      <c r="C394">
        <v>67</v>
      </c>
      <c r="D394" t="str">
        <f>_xlfn.XLOOKUP(Tabla36[[#This Row],[Product ID]],Tabla44[[#This Row],[product_id]],Tabla44[[#This Row],[product_name]])</f>
        <v>Elegant Wrap Set</v>
      </c>
      <c r="E394" t="str">
        <f>_xlfn.XLOOKUP(Tabla36[[#This Row],[Product ID]],Tabla44[[#This Row],[product_id]],Tabla44[[#This Row],[category]])</f>
        <v>Sleepwear</v>
      </c>
    </row>
    <row r="395" spans="1:5" x14ac:dyDescent="0.3">
      <c r="A395" t="s">
        <v>8</v>
      </c>
      <c r="B395">
        <v>394</v>
      </c>
      <c r="C395">
        <v>72</v>
      </c>
      <c r="D395" t="str">
        <f>_xlfn.XLOOKUP(Tabla36[[#This Row],[Product ID]],Tabla44[[#This Row],[product_id]],Tabla44[[#This Row],[product_name]])</f>
        <v>Elegant Silk Tee</v>
      </c>
      <c r="E395" t="str">
        <f>_xlfn.XLOOKUP(Tabla36[[#This Row],[Product ID]],Tabla44[[#This Row],[product_id]],Tabla44[[#This Row],[category]])</f>
        <v>T-Shirts</v>
      </c>
    </row>
    <row r="396" spans="1:5" x14ac:dyDescent="0.3">
      <c r="A396" t="s">
        <v>8</v>
      </c>
      <c r="B396">
        <v>395</v>
      </c>
      <c r="C396">
        <v>71</v>
      </c>
      <c r="D396" t="str">
        <f>_xlfn.XLOOKUP(Tabla36[[#This Row],[Product ID]],Tabla44[[#This Row],[product_id]],Tabla44[[#This Row],[product_name]])</f>
        <v>Elegant Linen Dress</v>
      </c>
      <c r="E396" t="str">
        <f>_xlfn.XLOOKUP(Tabla36[[#This Row],[Product ID]],Tabla44[[#This Row],[product_id]],Tabla44[[#This Row],[category]])</f>
        <v>Dresses</v>
      </c>
    </row>
    <row r="397" spans="1:5" x14ac:dyDescent="0.3">
      <c r="A397" t="s">
        <v>8</v>
      </c>
      <c r="B397">
        <v>396</v>
      </c>
      <c r="C397">
        <v>31</v>
      </c>
      <c r="D397" t="str">
        <f>_xlfn.XLOOKUP(Tabla36[[#This Row],[Product ID]],Tabla44[[#This Row],[product_id]],Tabla44[[#This Row],[product_name]])</f>
        <v>Elegant Crew Tee</v>
      </c>
      <c r="E397" t="str">
        <f>_xlfn.XLOOKUP(Tabla36[[#This Row],[Product ID]],Tabla44[[#This Row],[product_id]],Tabla44[[#This Row],[category]])</f>
        <v>T-Shirts</v>
      </c>
    </row>
    <row r="398" spans="1:5" x14ac:dyDescent="0.3">
      <c r="A398" t="s">
        <v>8</v>
      </c>
      <c r="B398">
        <v>397</v>
      </c>
      <c r="C398">
        <v>67</v>
      </c>
      <c r="D398" t="str">
        <f>_xlfn.XLOOKUP(Tabla36[[#This Row],[Product ID]],Tabla44[[#This Row],[product_id]],Tabla44[[#This Row],[product_name]])</f>
        <v>Elegant Ribbed Dress</v>
      </c>
      <c r="E398" t="str">
        <f>_xlfn.XLOOKUP(Tabla36[[#This Row],[Product ID]],Tabla44[[#This Row],[product_id]],Tabla44[[#This Row],[category]])</f>
        <v>Dresses</v>
      </c>
    </row>
    <row r="399" spans="1:5" x14ac:dyDescent="0.3">
      <c r="A399" t="s">
        <v>8</v>
      </c>
      <c r="B399">
        <v>398</v>
      </c>
      <c r="C399">
        <v>67</v>
      </c>
      <c r="D399" t="str">
        <f>_xlfn.XLOOKUP(Tabla36[[#This Row],[Product ID]],Tabla44[[#This Row],[product_id]],Tabla44[[#This Row],[product_name]])</f>
        <v>Elegant Linen Set</v>
      </c>
      <c r="E399" t="str">
        <f>_xlfn.XLOOKUP(Tabla36[[#This Row],[Product ID]],Tabla44[[#This Row],[product_id]],Tabla44[[#This Row],[category]])</f>
        <v>Sleepwear</v>
      </c>
    </row>
    <row r="400" spans="1:5" x14ac:dyDescent="0.3">
      <c r="A400" t="s">
        <v>8</v>
      </c>
      <c r="B400">
        <v>399</v>
      </c>
      <c r="C400">
        <v>5</v>
      </c>
      <c r="D400" t="str">
        <f>_xlfn.XLOOKUP(Tabla36[[#This Row],[Product ID]],Tabla44[[#This Row],[product_id]],Tabla44[[#This Row],[product_name]])</f>
        <v>Elegant Linen Shoes</v>
      </c>
      <c r="E400" t="str">
        <f>_xlfn.XLOOKUP(Tabla36[[#This Row],[Product ID]],Tabla44[[#This Row],[product_id]],Tabla44[[#This Row],[category]])</f>
        <v>Shoes</v>
      </c>
    </row>
    <row r="401" spans="1:5" x14ac:dyDescent="0.3">
      <c r="A401" t="s">
        <v>8</v>
      </c>
      <c r="B401">
        <v>400</v>
      </c>
      <c r="C401">
        <v>2</v>
      </c>
      <c r="D401" t="str">
        <f>_xlfn.XLOOKUP(Tabla36[[#This Row],[Product ID]],Tabla44[[#This Row],[product_id]],Tabla44[[#This Row],[product_name]])</f>
        <v>Essential Silk Trousers</v>
      </c>
      <c r="E401" t="str">
        <f>_xlfn.XLOOKUP(Tabla36[[#This Row],[Product ID]],Tabla44[[#This Row],[product_id]],Tabla44[[#This Row],[category]])</f>
        <v>Pants</v>
      </c>
    </row>
    <row r="402" spans="1:5" x14ac:dyDescent="0.3">
      <c r="A402" t="s">
        <v>8</v>
      </c>
      <c r="B402">
        <v>401</v>
      </c>
      <c r="C402">
        <v>1</v>
      </c>
      <c r="D402" t="str">
        <f>_xlfn.XLOOKUP(Tabla36[[#This Row],[Product ID]],Tabla44[[#This Row],[product_id]],Tabla44[[#This Row],[product_name]])</f>
        <v>Elegant Cotton Dress</v>
      </c>
      <c r="E402" t="str">
        <f>_xlfn.XLOOKUP(Tabla36[[#This Row],[Product ID]],Tabla44[[#This Row],[product_id]],Tabla44[[#This Row],[category]])</f>
        <v>Dresses</v>
      </c>
    </row>
    <row r="403" spans="1:5" x14ac:dyDescent="0.3">
      <c r="A403" t="s">
        <v>8</v>
      </c>
      <c r="B403">
        <v>402</v>
      </c>
      <c r="C403">
        <v>51</v>
      </c>
      <c r="D403" t="str">
        <f>_xlfn.XLOOKUP(Tabla36[[#This Row],[Product ID]],Tabla44[[#This Row],[product_id]],Tabla44[[#This Row],[product_name]])</f>
        <v>Elegant Ribbed Set</v>
      </c>
      <c r="E403" t="str">
        <f>_xlfn.XLOOKUP(Tabla36[[#This Row],[Product ID]],Tabla44[[#This Row],[product_id]],Tabla44[[#This Row],[category]])</f>
        <v>Sleepwear</v>
      </c>
    </row>
    <row r="404" spans="1:5" x14ac:dyDescent="0.3">
      <c r="A404" t="s">
        <v>8</v>
      </c>
      <c r="B404">
        <v>403</v>
      </c>
      <c r="C404">
        <v>79</v>
      </c>
      <c r="D404" t="str">
        <f>_xlfn.XLOOKUP(Tabla36[[#This Row],[Product ID]],Tabla44[[#This Row],[product_id]],Tabla44[[#This Row],[product_name]])</f>
        <v>Elegant Satin Dress</v>
      </c>
      <c r="E404" t="str">
        <f>_xlfn.XLOOKUP(Tabla36[[#This Row],[Product ID]],Tabla44[[#This Row],[product_id]],Tabla44[[#This Row],[category]])</f>
        <v>Dresses</v>
      </c>
    </row>
    <row r="405" spans="1:5" x14ac:dyDescent="0.3">
      <c r="A405" t="s">
        <v>8</v>
      </c>
      <c r="B405">
        <v>404</v>
      </c>
      <c r="C405">
        <v>1</v>
      </c>
      <c r="D405" t="str">
        <f>_xlfn.XLOOKUP(Tabla36[[#This Row],[Product ID]],Tabla44[[#This Row],[product_id]],Tabla44[[#This Row],[product_name]])</f>
        <v>Elegant Cotton Set</v>
      </c>
      <c r="E405" t="str">
        <f>_xlfn.XLOOKUP(Tabla36[[#This Row],[Product ID]],Tabla44[[#This Row],[product_id]],Tabla44[[#This Row],[category]])</f>
        <v>Sleepwear</v>
      </c>
    </row>
    <row r="406" spans="1:5" x14ac:dyDescent="0.3">
      <c r="A406" t="s">
        <v>8</v>
      </c>
      <c r="B406">
        <v>405</v>
      </c>
      <c r="C406">
        <v>63</v>
      </c>
      <c r="D406" t="str">
        <f>_xlfn.XLOOKUP(Tabla36[[#This Row],[Product ID]],Tabla44[[#This Row],[product_id]],Tabla44[[#This Row],[product_name]])</f>
        <v>Elegant Silk Dress</v>
      </c>
      <c r="E406" t="str">
        <f>_xlfn.XLOOKUP(Tabla36[[#This Row],[Product ID]],Tabla44[[#This Row],[product_id]],Tabla44[[#This Row],[category]])</f>
        <v>Dresses</v>
      </c>
    </row>
    <row r="407" spans="1:5" x14ac:dyDescent="0.3">
      <c r="A407" t="s">
        <v>8</v>
      </c>
      <c r="B407">
        <v>406</v>
      </c>
      <c r="C407">
        <v>69</v>
      </c>
      <c r="D407" t="str">
        <f>_xlfn.XLOOKUP(Tabla36[[#This Row],[Product ID]],Tabla44[[#This Row],[product_id]],Tabla44[[#This Row],[product_name]])</f>
        <v>Essential Crew Trousers</v>
      </c>
      <c r="E407" t="str">
        <f>_xlfn.XLOOKUP(Tabla36[[#This Row],[Product ID]],Tabla44[[#This Row],[product_id]],Tabla44[[#This Row],[category]])</f>
        <v>Pants</v>
      </c>
    </row>
    <row r="408" spans="1:5" x14ac:dyDescent="0.3">
      <c r="A408" t="s">
        <v>8</v>
      </c>
      <c r="B408">
        <v>407</v>
      </c>
      <c r="C408">
        <v>17</v>
      </c>
      <c r="D408" t="str">
        <f>_xlfn.XLOOKUP(Tabla36[[#This Row],[Product ID]],Tabla44[[#This Row],[product_id]],Tabla44[[#This Row],[product_name]])</f>
        <v>Elegant Sleeveless Tee</v>
      </c>
      <c r="E408" t="str">
        <f>_xlfn.XLOOKUP(Tabla36[[#This Row],[Product ID]],Tabla44[[#This Row],[product_id]],Tabla44[[#This Row],[category]])</f>
        <v>T-Shirts</v>
      </c>
    </row>
    <row r="409" spans="1:5" x14ac:dyDescent="0.3">
      <c r="A409" t="s">
        <v>8</v>
      </c>
      <c r="B409">
        <v>408</v>
      </c>
      <c r="C409">
        <v>62</v>
      </c>
      <c r="D409" t="str">
        <f>_xlfn.XLOOKUP(Tabla36[[#This Row],[Product ID]],Tabla44[[#This Row],[product_id]],Tabla44[[#This Row],[product_name]])</f>
        <v>Elegant High-Waist Tee</v>
      </c>
      <c r="E409" t="str">
        <f>_xlfn.XLOOKUP(Tabla36[[#This Row],[Product ID]],Tabla44[[#This Row],[product_id]],Tabla44[[#This Row],[category]])</f>
        <v>T-Shirts</v>
      </c>
    </row>
    <row r="410" spans="1:5" x14ac:dyDescent="0.3">
      <c r="A410" t="s">
        <v>8</v>
      </c>
      <c r="B410">
        <v>409</v>
      </c>
      <c r="C410">
        <v>69</v>
      </c>
      <c r="D410" t="str">
        <f>_xlfn.XLOOKUP(Tabla36[[#This Row],[Product ID]],Tabla44[[#This Row],[product_id]],Tabla44[[#This Row],[product_name]])</f>
        <v>Elegant Ribbed Shoes</v>
      </c>
      <c r="E410" t="str">
        <f>_xlfn.XLOOKUP(Tabla36[[#This Row],[Product ID]],Tabla44[[#This Row],[product_id]],Tabla44[[#This Row],[category]])</f>
        <v>Shoes</v>
      </c>
    </row>
    <row r="411" spans="1:5" x14ac:dyDescent="0.3">
      <c r="A411" t="s">
        <v>8</v>
      </c>
      <c r="B411">
        <v>410</v>
      </c>
      <c r="C411">
        <v>14</v>
      </c>
      <c r="D411" t="str">
        <f>_xlfn.XLOOKUP(Tabla36[[#This Row],[Product ID]],Tabla44[[#This Row],[product_id]],Tabla44[[#This Row],[product_name]])</f>
        <v>Elegant Satin Set</v>
      </c>
      <c r="E411" t="str">
        <f>_xlfn.XLOOKUP(Tabla36[[#This Row],[Product ID]],Tabla44[[#This Row],[product_id]],Tabla44[[#This Row],[category]])</f>
        <v>Sleepwear</v>
      </c>
    </row>
    <row r="412" spans="1:5" x14ac:dyDescent="0.3">
      <c r="A412" t="s">
        <v>8</v>
      </c>
      <c r="B412">
        <v>411</v>
      </c>
      <c r="C412">
        <v>77</v>
      </c>
      <c r="D412" t="str">
        <f>_xlfn.XLOOKUP(Tabla36[[#This Row],[Product ID]],Tabla44[[#This Row],[product_id]],Tabla44[[#This Row],[product_name]])</f>
        <v>Elegant Silk Set</v>
      </c>
      <c r="E412" t="str">
        <f>_xlfn.XLOOKUP(Tabla36[[#This Row],[Product ID]],Tabla44[[#This Row],[product_id]],Tabla44[[#This Row],[category]])</f>
        <v>Sleepwear</v>
      </c>
    </row>
    <row r="413" spans="1:5" x14ac:dyDescent="0.3">
      <c r="A413" t="s">
        <v>8</v>
      </c>
      <c r="B413">
        <v>412</v>
      </c>
      <c r="C413">
        <v>15</v>
      </c>
      <c r="D413" t="str">
        <f>_xlfn.XLOOKUP(Tabla36[[#This Row],[Product ID]],Tabla44[[#This Row],[product_id]],Tabla44[[#This Row],[product_name]])</f>
        <v>Elegant Cotton Shoes</v>
      </c>
      <c r="E413" t="str">
        <f>_xlfn.XLOOKUP(Tabla36[[#This Row],[Product ID]],Tabla44[[#This Row],[product_id]],Tabla44[[#This Row],[category]])</f>
        <v>Shoes</v>
      </c>
    </row>
    <row r="414" spans="1:5" x14ac:dyDescent="0.3">
      <c r="A414" t="s">
        <v>8</v>
      </c>
      <c r="B414">
        <v>413</v>
      </c>
      <c r="C414">
        <v>56</v>
      </c>
      <c r="D414" t="str">
        <f>_xlfn.XLOOKUP(Tabla36[[#This Row],[Product ID]],Tabla44[[#This Row],[product_id]],Tabla44[[#This Row],[product_name]])</f>
        <v>Elegant Satin Shoes</v>
      </c>
      <c r="E414" t="str">
        <f>_xlfn.XLOOKUP(Tabla36[[#This Row],[Product ID]],Tabla44[[#This Row],[product_id]],Tabla44[[#This Row],[category]])</f>
        <v>Shoes</v>
      </c>
    </row>
    <row r="415" spans="1:5" x14ac:dyDescent="0.3">
      <c r="A415" t="s">
        <v>8</v>
      </c>
      <c r="B415">
        <v>414</v>
      </c>
      <c r="C415">
        <v>64</v>
      </c>
      <c r="D415" t="str">
        <f>_xlfn.XLOOKUP(Tabla36[[#This Row],[Product ID]],Tabla44[[#This Row],[product_id]],Tabla44[[#This Row],[product_name]])</f>
        <v>Elegant Crew Set</v>
      </c>
      <c r="E415" t="str">
        <f>_xlfn.XLOOKUP(Tabla36[[#This Row],[Product ID]],Tabla44[[#This Row],[product_id]],Tabla44[[#This Row],[category]])</f>
        <v>Sleepwear</v>
      </c>
    </row>
    <row r="416" spans="1:5" x14ac:dyDescent="0.3">
      <c r="A416" t="s">
        <v>8</v>
      </c>
      <c r="B416">
        <v>415</v>
      </c>
      <c r="C416">
        <v>49</v>
      </c>
      <c r="D416" t="str">
        <f>_xlfn.XLOOKUP(Tabla36[[#This Row],[Product ID]],Tabla44[[#This Row],[product_id]],Tabla44[[#This Row],[product_name]])</f>
        <v>Essential Sleeveless Trousers</v>
      </c>
      <c r="E416" t="str">
        <f>_xlfn.XLOOKUP(Tabla36[[#This Row],[Product ID]],Tabla44[[#This Row],[product_id]],Tabla44[[#This Row],[category]])</f>
        <v>Pants</v>
      </c>
    </row>
    <row r="417" spans="1:5" x14ac:dyDescent="0.3">
      <c r="A417" t="s">
        <v>8</v>
      </c>
      <c r="B417">
        <v>416</v>
      </c>
      <c r="C417">
        <v>61</v>
      </c>
      <c r="D417" t="str">
        <f>_xlfn.XLOOKUP(Tabla36[[#This Row],[Product ID]],Tabla44[[#This Row],[product_id]],Tabla44[[#This Row],[product_name]])</f>
        <v>Essential High-Waist Trousers</v>
      </c>
      <c r="E417" t="str">
        <f>_xlfn.XLOOKUP(Tabla36[[#This Row],[Product ID]],Tabla44[[#This Row],[product_id]],Tabla44[[#This Row],[category]])</f>
        <v>Pants</v>
      </c>
    </row>
    <row r="418" spans="1:5" x14ac:dyDescent="0.3">
      <c r="A418" t="s">
        <v>8</v>
      </c>
      <c r="B418">
        <v>417</v>
      </c>
      <c r="C418">
        <v>25</v>
      </c>
      <c r="D418" t="str">
        <f>_xlfn.XLOOKUP(Tabla36[[#This Row],[Product ID]],Tabla44[[#This Row],[product_id]],Tabla44[[#This Row],[product_name]])</f>
        <v>Elegant Silk Shoes</v>
      </c>
      <c r="E418" t="str">
        <f>_xlfn.XLOOKUP(Tabla36[[#This Row],[Product ID]],Tabla44[[#This Row],[product_id]],Tabla44[[#This Row],[category]])</f>
        <v>Shoes</v>
      </c>
    </row>
    <row r="419" spans="1:5" x14ac:dyDescent="0.3">
      <c r="A419" t="s">
        <v>8</v>
      </c>
      <c r="B419">
        <v>418</v>
      </c>
      <c r="C419">
        <v>22</v>
      </c>
      <c r="D419" t="str">
        <f>_xlfn.XLOOKUP(Tabla36[[#This Row],[Product ID]],Tabla44[[#This Row],[product_id]],Tabla44[[#This Row],[product_name]])</f>
        <v>Elegant Crew Shoes</v>
      </c>
      <c r="E419" t="str">
        <f>_xlfn.XLOOKUP(Tabla36[[#This Row],[Product ID]],Tabla44[[#This Row],[product_id]],Tabla44[[#This Row],[category]])</f>
        <v>Shoes</v>
      </c>
    </row>
    <row r="420" spans="1:5" x14ac:dyDescent="0.3">
      <c r="A420" t="s">
        <v>8</v>
      </c>
      <c r="B420">
        <v>419</v>
      </c>
      <c r="C420">
        <v>39</v>
      </c>
      <c r="D420" t="str">
        <f>_xlfn.XLOOKUP(Tabla36[[#This Row],[Product ID]],Tabla44[[#This Row],[product_id]],Tabla44[[#This Row],[product_name]])</f>
        <v>Elegant Crew Dress</v>
      </c>
      <c r="E420" t="str">
        <f>_xlfn.XLOOKUP(Tabla36[[#This Row],[Product ID]],Tabla44[[#This Row],[product_id]],Tabla44[[#This Row],[category]])</f>
        <v>Dresses</v>
      </c>
    </row>
    <row r="421" spans="1:5" x14ac:dyDescent="0.3">
      <c r="A421" t="s">
        <v>8</v>
      </c>
      <c r="B421">
        <v>420</v>
      </c>
      <c r="C421">
        <v>28</v>
      </c>
      <c r="D421" t="str">
        <f>_xlfn.XLOOKUP(Tabla36[[#This Row],[Product ID]],Tabla44[[#This Row],[product_id]],Tabla44[[#This Row],[product_name]])</f>
        <v>Elegant Sleeveless Shoes</v>
      </c>
      <c r="E421" t="str">
        <f>_xlfn.XLOOKUP(Tabla36[[#This Row],[Product ID]],Tabla44[[#This Row],[product_id]],Tabla44[[#This Row],[category]])</f>
        <v>Shoes</v>
      </c>
    </row>
    <row r="422" spans="1:5" x14ac:dyDescent="0.3">
      <c r="A422" t="s">
        <v>8</v>
      </c>
      <c r="B422">
        <v>421</v>
      </c>
      <c r="C422">
        <v>26</v>
      </c>
      <c r="D422" t="str">
        <f>_xlfn.XLOOKUP(Tabla36[[#This Row],[Product ID]],Tabla44[[#This Row],[product_id]],Tabla44[[#This Row],[product_name]])</f>
        <v>Elegant Sleeveless Set</v>
      </c>
      <c r="E422" t="str">
        <f>_xlfn.XLOOKUP(Tabla36[[#This Row],[Product ID]],Tabla44[[#This Row],[product_id]],Tabla44[[#This Row],[category]])</f>
        <v>Sleepwear</v>
      </c>
    </row>
    <row r="423" spans="1:5" x14ac:dyDescent="0.3">
      <c r="A423" t="s">
        <v>8</v>
      </c>
      <c r="B423">
        <v>422</v>
      </c>
      <c r="C423">
        <v>72</v>
      </c>
      <c r="D423" t="str">
        <f>_xlfn.XLOOKUP(Tabla36[[#This Row],[Product ID]],Tabla44[[#This Row],[product_id]],Tabla44[[#This Row],[product_name]])</f>
        <v>Elegant High-Waist Set</v>
      </c>
      <c r="E423" t="str">
        <f>_xlfn.XLOOKUP(Tabla36[[#This Row],[Product ID]],Tabla44[[#This Row],[product_id]],Tabla44[[#This Row],[category]])</f>
        <v>Sleepwear</v>
      </c>
    </row>
    <row r="424" spans="1:5" x14ac:dyDescent="0.3">
      <c r="A424" t="s">
        <v>8</v>
      </c>
      <c r="B424">
        <v>423</v>
      </c>
      <c r="C424">
        <v>28</v>
      </c>
      <c r="D424" t="str">
        <f>_xlfn.XLOOKUP(Tabla36[[#This Row],[Product ID]],Tabla44[[#This Row],[product_id]],Tabla44[[#This Row],[product_name]])</f>
        <v>Elegant Boxy Tee</v>
      </c>
      <c r="E424" t="str">
        <f>_xlfn.XLOOKUP(Tabla36[[#This Row],[Product ID]],Tabla44[[#This Row],[product_id]],Tabla44[[#This Row],[category]])</f>
        <v>T-Shirts</v>
      </c>
    </row>
    <row r="425" spans="1:5" x14ac:dyDescent="0.3">
      <c r="A425" t="s">
        <v>8</v>
      </c>
      <c r="B425">
        <v>424</v>
      </c>
      <c r="C425">
        <v>67</v>
      </c>
      <c r="D425" t="str">
        <f>_xlfn.XLOOKUP(Tabla36[[#This Row],[Product ID]],Tabla44[[#This Row],[product_id]],Tabla44[[#This Row],[product_name]])</f>
        <v>Elegant Sleeveless Dress</v>
      </c>
      <c r="E425" t="str">
        <f>_xlfn.XLOOKUP(Tabla36[[#This Row],[Product ID]],Tabla44[[#This Row],[product_id]],Tabla44[[#This Row],[category]])</f>
        <v>Dresses</v>
      </c>
    </row>
    <row r="426" spans="1:5" x14ac:dyDescent="0.3">
      <c r="A426" t="s">
        <v>8</v>
      </c>
      <c r="B426">
        <v>425</v>
      </c>
      <c r="C426">
        <v>1</v>
      </c>
      <c r="D426" t="str">
        <f>_xlfn.XLOOKUP(Tabla36[[#This Row],[Product ID]],Tabla44[[#This Row],[product_id]],Tabla44[[#This Row],[product_name]])</f>
        <v>Elegant Boxy Set</v>
      </c>
      <c r="E426" t="str">
        <f>_xlfn.XLOOKUP(Tabla36[[#This Row],[Product ID]],Tabla44[[#This Row],[product_id]],Tabla44[[#This Row],[category]])</f>
        <v>Sleepwear</v>
      </c>
    </row>
    <row r="427" spans="1:5" x14ac:dyDescent="0.3">
      <c r="A427" t="s">
        <v>8</v>
      </c>
      <c r="B427">
        <v>426</v>
      </c>
      <c r="C427">
        <v>99</v>
      </c>
      <c r="D427" t="str">
        <f>_xlfn.XLOOKUP(Tabla36[[#This Row],[Product ID]],Tabla44[[#This Row],[product_id]],Tabla44[[#This Row],[product_name]])</f>
        <v>Elegant High-Waist Dress</v>
      </c>
      <c r="E427" t="str">
        <f>_xlfn.XLOOKUP(Tabla36[[#This Row],[Product ID]],Tabla44[[#This Row],[product_id]],Tabla44[[#This Row],[category]])</f>
        <v>Dresses</v>
      </c>
    </row>
    <row r="428" spans="1:5" x14ac:dyDescent="0.3">
      <c r="A428" t="s">
        <v>8</v>
      </c>
      <c r="B428">
        <v>427</v>
      </c>
      <c r="C428">
        <v>99</v>
      </c>
      <c r="D428" t="str">
        <f>_xlfn.XLOOKUP(Tabla36[[#This Row],[Product ID]],Tabla44[[#This Row],[product_id]],Tabla44[[#This Row],[product_name]])</f>
        <v>Bold Wrap Set</v>
      </c>
      <c r="E428" t="str">
        <f>_xlfn.XLOOKUP(Tabla36[[#This Row],[Product ID]],Tabla44[[#This Row],[product_id]],Tabla44[[#This Row],[category]])</f>
        <v>Sleepwear</v>
      </c>
    </row>
    <row r="429" spans="1:5" x14ac:dyDescent="0.3">
      <c r="A429" t="s">
        <v>8</v>
      </c>
      <c r="B429">
        <v>428</v>
      </c>
      <c r="C429">
        <v>71</v>
      </c>
      <c r="D429" t="str">
        <f>_xlfn.XLOOKUP(Tabla36[[#This Row],[Product ID]],Tabla44[[#This Row],[product_id]],Tabla44[[#This Row],[product_name]])</f>
        <v>Elegant High-Waist Shoes</v>
      </c>
      <c r="E429" t="str">
        <f>_xlfn.XLOOKUP(Tabla36[[#This Row],[Product ID]],Tabla44[[#This Row],[product_id]],Tabla44[[#This Row],[category]])</f>
        <v>Shoes</v>
      </c>
    </row>
    <row r="430" spans="1:5" x14ac:dyDescent="0.3">
      <c r="A430" t="s">
        <v>8</v>
      </c>
      <c r="B430">
        <v>429</v>
      </c>
      <c r="C430">
        <v>32</v>
      </c>
      <c r="D430" t="str">
        <f>_xlfn.XLOOKUP(Tabla36[[#This Row],[Product ID]],Tabla44[[#This Row],[product_id]],Tabla44[[#This Row],[product_name]])</f>
        <v>Bold Wrap Tee</v>
      </c>
      <c r="E430" t="str">
        <f>_xlfn.XLOOKUP(Tabla36[[#This Row],[Product ID]],Tabla44[[#This Row],[product_id]],Tabla44[[#This Row],[category]])</f>
        <v>T-Shirts</v>
      </c>
    </row>
    <row r="431" spans="1:5" x14ac:dyDescent="0.3">
      <c r="A431" t="s">
        <v>8</v>
      </c>
      <c r="B431">
        <v>430</v>
      </c>
      <c r="C431">
        <v>18</v>
      </c>
      <c r="D431" t="str">
        <f>_xlfn.XLOOKUP(Tabla36[[#This Row],[Product ID]],Tabla44[[#This Row],[product_id]],Tabla44[[#This Row],[product_name]])</f>
        <v>Bold Linen Set</v>
      </c>
      <c r="E431" t="str">
        <f>_xlfn.XLOOKUP(Tabla36[[#This Row],[Product ID]],Tabla44[[#This Row],[product_id]],Tabla44[[#This Row],[category]])</f>
        <v>Sleepwear</v>
      </c>
    </row>
    <row r="432" spans="1:5" x14ac:dyDescent="0.3">
      <c r="A432" t="s">
        <v>8</v>
      </c>
      <c r="B432">
        <v>431</v>
      </c>
      <c r="C432">
        <v>21</v>
      </c>
      <c r="D432" t="str">
        <f>_xlfn.XLOOKUP(Tabla36[[#This Row],[Product ID]],Tabla44[[#This Row],[product_id]],Tabla44[[#This Row],[product_name]])</f>
        <v>Elegant Boxy Shoes</v>
      </c>
      <c r="E432" t="str">
        <f>_xlfn.XLOOKUP(Tabla36[[#This Row],[Product ID]],Tabla44[[#This Row],[product_id]],Tabla44[[#This Row],[category]])</f>
        <v>Shoes</v>
      </c>
    </row>
    <row r="433" spans="1:5" x14ac:dyDescent="0.3">
      <c r="A433" t="s">
        <v>8</v>
      </c>
      <c r="B433">
        <v>432</v>
      </c>
      <c r="C433">
        <v>10</v>
      </c>
      <c r="D433" t="str">
        <f>_xlfn.XLOOKUP(Tabla36[[#This Row],[Product ID]],Tabla44[[#This Row],[product_id]],Tabla44[[#This Row],[product_name]])</f>
        <v>Bold Linen Tee</v>
      </c>
      <c r="E433" t="str">
        <f>_xlfn.XLOOKUP(Tabla36[[#This Row],[Product ID]],Tabla44[[#This Row],[product_id]],Tabla44[[#This Row],[category]])</f>
        <v>T-Shirts</v>
      </c>
    </row>
    <row r="434" spans="1:5" x14ac:dyDescent="0.3">
      <c r="A434" t="s">
        <v>8</v>
      </c>
      <c r="B434">
        <v>433</v>
      </c>
      <c r="C434">
        <v>67</v>
      </c>
      <c r="D434" t="str">
        <f>_xlfn.XLOOKUP(Tabla36[[#This Row],[Product ID]],Tabla44[[#This Row],[product_id]],Tabla44[[#This Row],[product_name]])</f>
        <v>Essential Boxy Trousers</v>
      </c>
      <c r="E434" t="str">
        <f>_xlfn.XLOOKUP(Tabla36[[#This Row],[Product ID]],Tabla44[[#This Row],[product_id]],Tabla44[[#This Row],[category]])</f>
        <v>Pants</v>
      </c>
    </row>
    <row r="435" spans="1:5" x14ac:dyDescent="0.3">
      <c r="A435" t="s">
        <v>8</v>
      </c>
      <c r="B435">
        <v>434</v>
      </c>
      <c r="C435">
        <v>3</v>
      </c>
      <c r="D435" t="str">
        <f>_xlfn.XLOOKUP(Tabla36[[#This Row],[Product ID]],Tabla44[[#This Row],[product_id]],Tabla44[[#This Row],[product_name]])</f>
        <v>Bold Ribbed Tee</v>
      </c>
      <c r="E435" t="str">
        <f>_xlfn.XLOOKUP(Tabla36[[#This Row],[Product ID]],Tabla44[[#This Row],[product_id]],Tabla44[[#This Row],[category]])</f>
        <v>T-Shirts</v>
      </c>
    </row>
    <row r="436" spans="1:5" x14ac:dyDescent="0.3">
      <c r="A436" t="s">
        <v>8</v>
      </c>
      <c r="B436">
        <v>435</v>
      </c>
      <c r="C436">
        <v>43</v>
      </c>
      <c r="D436" t="str">
        <f>_xlfn.XLOOKUP(Tabla36[[#This Row],[Product ID]],Tabla44[[#This Row],[product_id]],Tabla44[[#This Row],[product_name]])</f>
        <v>Tailored Wrap Trousers</v>
      </c>
      <c r="E436" t="str">
        <f>_xlfn.XLOOKUP(Tabla36[[#This Row],[Product ID]],Tabla44[[#This Row],[product_id]],Tabla44[[#This Row],[category]])</f>
        <v>Pants</v>
      </c>
    </row>
    <row r="437" spans="1:5" x14ac:dyDescent="0.3">
      <c r="A437" t="s">
        <v>8</v>
      </c>
      <c r="B437">
        <v>436</v>
      </c>
      <c r="C437">
        <v>57</v>
      </c>
      <c r="D437" t="str">
        <f>_xlfn.XLOOKUP(Tabla36[[#This Row],[Product ID]],Tabla44[[#This Row],[product_id]],Tabla44[[#This Row],[product_name]])</f>
        <v>Bold Wrap Shoes</v>
      </c>
      <c r="E437" t="str">
        <f>_xlfn.XLOOKUP(Tabla36[[#This Row],[Product ID]],Tabla44[[#This Row],[product_id]],Tabla44[[#This Row],[category]])</f>
        <v>Shoes</v>
      </c>
    </row>
    <row r="438" spans="1:5" x14ac:dyDescent="0.3">
      <c r="A438" t="s">
        <v>8</v>
      </c>
      <c r="B438">
        <v>437</v>
      </c>
      <c r="C438">
        <v>98</v>
      </c>
      <c r="D438" t="str">
        <f>_xlfn.XLOOKUP(Tabla36[[#This Row],[Product ID]],Tabla44[[#This Row],[product_id]],Tabla44[[#This Row],[product_name]])</f>
        <v>Elegant Boxy Dress</v>
      </c>
      <c r="E438" t="str">
        <f>_xlfn.XLOOKUP(Tabla36[[#This Row],[Product ID]],Tabla44[[#This Row],[product_id]],Tabla44[[#This Row],[category]])</f>
        <v>Dresses</v>
      </c>
    </row>
    <row r="439" spans="1:5" x14ac:dyDescent="0.3">
      <c r="A439" t="s">
        <v>8</v>
      </c>
      <c r="B439">
        <v>438</v>
      </c>
      <c r="C439">
        <v>10</v>
      </c>
      <c r="D439" t="str">
        <f>_xlfn.XLOOKUP(Tabla36[[#This Row],[Product ID]],Tabla44[[#This Row],[product_id]],Tabla44[[#This Row],[product_name]])</f>
        <v>Bold Wrap Dress</v>
      </c>
      <c r="E439" t="str">
        <f>_xlfn.XLOOKUP(Tabla36[[#This Row],[Product ID]],Tabla44[[#This Row],[product_id]],Tabla44[[#This Row],[category]])</f>
        <v>Dresses</v>
      </c>
    </row>
    <row r="440" spans="1:5" x14ac:dyDescent="0.3">
      <c r="A440" t="s">
        <v>8</v>
      </c>
      <c r="B440">
        <v>439</v>
      </c>
      <c r="C440">
        <v>25</v>
      </c>
      <c r="D440" t="str">
        <f>_xlfn.XLOOKUP(Tabla36[[#This Row],[Product ID]],Tabla44[[#This Row],[product_id]],Tabla44[[#This Row],[product_name]])</f>
        <v>Tailored Linen Trousers</v>
      </c>
      <c r="E440" t="str">
        <f>_xlfn.XLOOKUP(Tabla36[[#This Row],[Product ID]],Tabla44[[#This Row],[product_id]],Tabla44[[#This Row],[category]])</f>
        <v>Pants</v>
      </c>
    </row>
    <row r="441" spans="1:5" x14ac:dyDescent="0.3">
      <c r="A441" t="s">
        <v>8</v>
      </c>
      <c r="B441">
        <v>440</v>
      </c>
      <c r="C441">
        <v>70</v>
      </c>
      <c r="D441" t="str">
        <f>_xlfn.XLOOKUP(Tabla36[[#This Row],[Product ID]],Tabla44[[#This Row],[product_id]],Tabla44[[#This Row],[product_name]])</f>
        <v>Bold Linen Shoes</v>
      </c>
      <c r="E441" t="str">
        <f>_xlfn.XLOOKUP(Tabla36[[#This Row],[Product ID]],Tabla44[[#This Row],[product_id]],Tabla44[[#This Row],[category]])</f>
        <v>Shoes</v>
      </c>
    </row>
    <row r="442" spans="1:5" x14ac:dyDescent="0.3">
      <c r="A442" t="s">
        <v>8</v>
      </c>
      <c r="B442">
        <v>441</v>
      </c>
      <c r="C442">
        <v>73</v>
      </c>
      <c r="D442" t="str">
        <f>_xlfn.XLOOKUP(Tabla36[[#This Row],[Product ID]],Tabla44[[#This Row],[product_id]],Tabla44[[#This Row],[product_name]])</f>
        <v>Bold Linen Dress</v>
      </c>
      <c r="E442" t="str">
        <f>_xlfn.XLOOKUP(Tabla36[[#This Row],[Product ID]],Tabla44[[#This Row],[product_id]],Tabla44[[#This Row],[category]])</f>
        <v>Dresses</v>
      </c>
    </row>
    <row r="443" spans="1:5" x14ac:dyDescent="0.3">
      <c r="A443" t="s">
        <v>8</v>
      </c>
      <c r="B443">
        <v>442</v>
      </c>
      <c r="C443">
        <v>72</v>
      </c>
      <c r="D443" t="str">
        <f>_xlfn.XLOOKUP(Tabla36[[#This Row],[Product ID]],Tabla44[[#This Row],[product_id]],Tabla44[[#This Row],[product_name]])</f>
        <v>Bold Ribbed Dress</v>
      </c>
      <c r="E443" t="str">
        <f>_xlfn.XLOOKUP(Tabla36[[#This Row],[Product ID]],Tabla44[[#This Row],[product_id]],Tabla44[[#This Row],[category]])</f>
        <v>Dresses</v>
      </c>
    </row>
    <row r="444" spans="1:5" x14ac:dyDescent="0.3">
      <c r="A444" t="s">
        <v>8</v>
      </c>
      <c r="B444">
        <v>443</v>
      </c>
      <c r="C444">
        <v>78</v>
      </c>
      <c r="D444" t="str">
        <f>_xlfn.XLOOKUP(Tabla36[[#This Row],[Product ID]],Tabla44[[#This Row],[product_id]],Tabla44[[#This Row],[product_name]])</f>
        <v>Bold Ribbed Set</v>
      </c>
      <c r="E444" t="str">
        <f>_xlfn.XLOOKUP(Tabla36[[#This Row],[Product ID]],Tabla44[[#This Row],[product_id]],Tabla44[[#This Row],[category]])</f>
        <v>Sleepwear</v>
      </c>
    </row>
    <row r="445" spans="1:5" x14ac:dyDescent="0.3">
      <c r="A445" t="s">
        <v>8</v>
      </c>
      <c r="B445">
        <v>444</v>
      </c>
      <c r="C445">
        <v>31</v>
      </c>
      <c r="D445" t="str">
        <f>_xlfn.XLOOKUP(Tabla36[[#This Row],[Product ID]],Tabla44[[#This Row],[product_id]],Tabla44[[#This Row],[product_name]])</f>
        <v>Bold Cotton Dress</v>
      </c>
      <c r="E445" t="str">
        <f>_xlfn.XLOOKUP(Tabla36[[#This Row],[Product ID]],Tabla44[[#This Row],[product_id]],Tabla44[[#This Row],[category]])</f>
        <v>Dresses</v>
      </c>
    </row>
    <row r="446" spans="1:5" x14ac:dyDescent="0.3">
      <c r="A446" t="s">
        <v>8</v>
      </c>
      <c r="B446">
        <v>445</v>
      </c>
      <c r="C446">
        <v>76</v>
      </c>
      <c r="D446" t="str">
        <f>_xlfn.XLOOKUP(Tabla36[[#This Row],[Product ID]],Tabla44[[#This Row],[product_id]],Tabla44[[#This Row],[product_name]])</f>
        <v>Bold Cotton Set</v>
      </c>
      <c r="E446" t="str">
        <f>_xlfn.XLOOKUP(Tabla36[[#This Row],[Product ID]],Tabla44[[#This Row],[product_id]],Tabla44[[#This Row],[category]])</f>
        <v>Sleepwear</v>
      </c>
    </row>
    <row r="447" spans="1:5" x14ac:dyDescent="0.3">
      <c r="A447" t="s">
        <v>8</v>
      </c>
      <c r="B447">
        <v>446</v>
      </c>
      <c r="C447">
        <v>85</v>
      </c>
      <c r="D447" t="str">
        <f>_xlfn.XLOOKUP(Tabla36[[#This Row],[Product ID]],Tabla44[[#This Row],[product_id]],Tabla44[[#This Row],[product_name]])</f>
        <v>Bold Cotton Tee</v>
      </c>
      <c r="E447" t="str">
        <f>_xlfn.XLOOKUP(Tabla36[[#This Row],[Product ID]],Tabla44[[#This Row],[product_id]],Tabla44[[#This Row],[category]])</f>
        <v>T-Shirts</v>
      </c>
    </row>
    <row r="448" spans="1:5" x14ac:dyDescent="0.3">
      <c r="A448" t="s">
        <v>8</v>
      </c>
      <c r="B448">
        <v>447</v>
      </c>
      <c r="C448">
        <v>35</v>
      </c>
      <c r="D448" t="str">
        <f>_xlfn.XLOOKUP(Tabla36[[#This Row],[Product ID]],Tabla44[[#This Row],[product_id]],Tabla44[[#This Row],[product_name]])</f>
        <v>Bold Satin Dress</v>
      </c>
      <c r="E448" t="str">
        <f>_xlfn.XLOOKUP(Tabla36[[#This Row],[Product ID]],Tabla44[[#This Row],[product_id]],Tabla44[[#This Row],[category]])</f>
        <v>Dresses</v>
      </c>
    </row>
    <row r="449" spans="1:5" x14ac:dyDescent="0.3">
      <c r="A449" t="s">
        <v>8</v>
      </c>
      <c r="B449">
        <v>448</v>
      </c>
      <c r="C449">
        <v>25</v>
      </c>
      <c r="D449" t="str">
        <f>_xlfn.XLOOKUP(Tabla36[[#This Row],[Product ID]],Tabla44[[#This Row],[product_id]],Tabla44[[#This Row],[product_name]])</f>
        <v>Bold Silk Dress</v>
      </c>
      <c r="E449" t="str">
        <f>_xlfn.XLOOKUP(Tabla36[[#This Row],[Product ID]],Tabla44[[#This Row],[product_id]],Tabla44[[#This Row],[category]])</f>
        <v>Dresses</v>
      </c>
    </row>
    <row r="450" spans="1:5" x14ac:dyDescent="0.3">
      <c r="A450" t="s">
        <v>8</v>
      </c>
      <c r="B450">
        <v>449</v>
      </c>
      <c r="C450">
        <v>60</v>
      </c>
      <c r="D450" t="str">
        <f>_xlfn.XLOOKUP(Tabla36[[#This Row],[Product ID]],Tabla44[[#This Row],[product_id]],Tabla44[[#This Row],[product_name]])</f>
        <v>Bold Satin Set</v>
      </c>
      <c r="E450" t="str">
        <f>_xlfn.XLOOKUP(Tabla36[[#This Row],[Product ID]],Tabla44[[#This Row],[product_id]],Tabla44[[#This Row],[category]])</f>
        <v>Sleepwear</v>
      </c>
    </row>
    <row r="451" spans="1:5" x14ac:dyDescent="0.3">
      <c r="A451" t="s">
        <v>8</v>
      </c>
      <c r="B451">
        <v>450</v>
      </c>
      <c r="C451">
        <v>95</v>
      </c>
      <c r="D451" t="str">
        <f>_xlfn.XLOOKUP(Tabla36[[#This Row],[Product ID]],Tabla44[[#This Row],[product_id]],Tabla44[[#This Row],[product_name]])</f>
        <v>Bold Silk Set</v>
      </c>
      <c r="E451" t="str">
        <f>_xlfn.XLOOKUP(Tabla36[[#This Row],[Product ID]],Tabla44[[#This Row],[product_id]],Tabla44[[#This Row],[category]])</f>
        <v>Sleepwear</v>
      </c>
    </row>
    <row r="452" spans="1:5" x14ac:dyDescent="0.3">
      <c r="A452" t="s">
        <v>8</v>
      </c>
      <c r="B452">
        <v>451</v>
      </c>
      <c r="C452">
        <v>66</v>
      </c>
      <c r="D452" t="str">
        <f>_xlfn.XLOOKUP(Tabla36[[#This Row],[Product ID]],Tabla44[[#This Row],[product_id]],Tabla44[[#This Row],[product_name]])</f>
        <v>Bold Satin Tee</v>
      </c>
      <c r="E452" t="str">
        <f>_xlfn.XLOOKUP(Tabla36[[#This Row],[Product ID]],Tabla44[[#This Row],[product_id]],Tabla44[[#This Row],[category]])</f>
        <v>T-Shirts</v>
      </c>
    </row>
    <row r="453" spans="1:5" x14ac:dyDescent="0.3">
      <c r="A453" t="s">
        <v>8</v>
      </c>
      <c r="B453">
        <v>452</v>
      </c>
      <c r="C453">
        <v>1</v>
      </c>
      <c r="D453" t="str">
        <f>_xlfn.XLOOKUP(Tabla36[[#This Row],[Product ID]],Tabla44[[#This Row],[product_id]],Tabla44[[#This Row],[product_name]])</f>
        <v>Bold Crew Dress</v>
      </c>
      <c r="E453" t="str">
        <f>_xlfn.XLOOKUP(Tabla36[[#This Row],[Product ID]],Tabla44[[#This Row],[product_id]],Tabla44[[#This Row],[category]])</f>
        <v>Dresses</v>
      </c>
    </row>
    <row r="454" spans="1:5" x14ac:dyDescent="0.3">
      <c r="A454" t="s">
        <v>8</v>
      </c>
      <c r="B454">
        <v>453</v>
      </c>
      <c r="C454">
        <v>87</v>
      </c>
      <c r="D454" t="str">
        <f>_xlfn.XLOOKUP(Tabla36[[#This Row],[Product ID]],Tabla44[[#This Row],[product_id]],Tabla44[[#This Row],[product_name]])</f>
        <v>Bold Silk Tee</v>
      </c>
      <c r="E454" t="str">
        <f>_xlfn.XLOOKUP(Tabla36[[#This Row],[Product ID]],Tabla44[[#This Row],[product_id]],Tabla44[[#This Row],[category]])</f>
        <v>T-Shirts</v>
      </c>
    </row>
    <row r="455" spans="1:5" x14ac:dyDescent="0.3">
      <c r="A455" t="s">
        <v>8</v>
      </c>
      <c r="B455">
        <v>454</v>
      </c>
      <c r="C455">
        <v>78</v>
      </c>
      <c r="D455" t="str">
        <f>_xlfn.XLOOKUP(Tabla36[[#This Row],[Product ID]],Tabla44[[#This Row],[product_id]],Tabla44[[#This Row],[product_name]])</f>
        <v>Bold Crew Set</v>
      </c>
      <c r="E455" t="str">
        <f>_xlfn.XLOOKUP(Tabla36[[#This Row],[Product ID]],Tabla44[[#This Row],[product_id]],Tabla44[[#This Row],[category]])</f>
        <v>Sleepwear</v>
      </c>
    </row>
    <row r="456" spans="1:5" x14ac:dyDescent="0.3">
      <c r="A456" t="s">
        <v>8</v>
      </c>
      <c r="B456">
        <v>455</v>
      </c>
      <c r="C456">
        <v>56</v>
      </c>
      <c r="D456" t="str">
        <f>_xlfn.XLOOKUP(Tabla36[[#This Row],[Product ID]],Tabla44[[#This Row],[product_id]],Tabla44[[#This Row],[product_name]])</f>
        <v>Tailored Ribbed Trousers</v>
      </c>
      <c r="E456" t="str">
        <f>_xlfn.XLOOKUP(Tabla36[[#This Row],[Product ID]],Tabla44[[#This Row],[product_id]],Tabla44[[#This Row],[category]])</f>
        <v>Pants</v>
      </c>
    </row>
    <row r="457" spans="1:5" x14ac:dyDescent="0.3">
      <c r="A457" t="s">
        <v>8</v>
      </c>
      <c r="B457">
        <v>456</v>
      </c>
      <c r="C457">
        <v>71</v>
      </c>
      <c r="D457" t="str">
        <f>_xlfn.XLOOKUP(Tabla36[[#This Row],[Product ID]],Tabla44[[#This Row],[product_id]],Tabla44[[#This Row],[product_name]])</f>
        <v>Bold Sleeveless Dress</v>
      </c>
      <c r="E457" t="str">
        <f>_xlfn.XLOOKUP(Tabla36[[#This Row],[Product ID]],Tabla44[[#This Row],[product_id]],Tabla44[[#This Row],[category]])</f>
        <v>Dresses</v>
      </c>
    </row>
    <row r="458" spans="1:5" x14ac:dyDescent="0.3">
      <c r="A458" t="s">
        <v>8</v>
      </c>
      <c r="B458">
        <v>457</v>
      </c>
      <c r="C458">
        <v>78</v>
      </c>
      <c r="D458" t="str">
        <f>_xlfn.XLOOKUP(Tabla36[[#This Row],[Product ID]],Tabla44[[#This Row],[product_id]],Tabla44[[#This Row],[product_name]])</f>
        <v>Bold Crew Tee</v>
      </c>
      <c r="E458" t="str">
        <f>_xlfn.XLOOKUP(Tabla36[[#This Row],[Product ID]],Tabla44[[#This Row],[product_id]],Tabla44[[#This Row],[category]])</f>
        <v>T-Shirts</v>
      </c>
    </row>
    <row r="459" spans="1:5" x14ac:dyDescent="0.3">
      <c r="A459" t="s">
        <v>8</v>
      </c>
      <c r="B459">
        <v>458</v>
      </c>
      <c r="C459">
        <v>85</v>
      </c>
      <c r="D459" t="str">
        <f>_xlfn.XLOOKUP(Tabla36[[#This Row],[Product ID]],Tabla44[[#This Row],[product_id]],Tabla44[[#This Row],[product_name]])</f>
        <v>Bold Sleeveless Set</v>
      </c>
      <c r="E459" t="str">
        <f>_xlfn.XLOOKUP(Tabla36[[#This Row],[Product ID]],Tabla44[[#This Row],[product_id]],Tabla44[[#This Row],[category]])</f>
        <v>Sleepwear</v>
      </c>
    </row>
    <row r="460" spans="1:5" x14ac:dyDescent="0.3">
      <c r="A460" t="s">
        <v>8</v>
      </c>
      <c r="B460">
        <v>459</v>
      </c>
      <c r="C460">
        <v>25</v>
      </c>
      <c r="D460" t="str">
        <f>_xlfn.XLOOKUP(Tabla36[[#This Row],[Product ID]],Tabla44[[#This Row],[product_id]],Tabla44[[#This Row],[product_name]])</f>
        <v>Bold High-Waist Dress</v>
      </c>
      <c r="E460" t="str">
        <f>_xlfn.XLOOKUP(Tabla36[[#This Row],[Product ID]],Tabla44[[#This Row],[product_id]],Tabla44[[#This Row],[category]])</f>
        <v>Dresses</v>
      </c>
    </row>
    <row r="461" spans="1:5" x14ac:dyDescent="0.3">
      <c r="A461" t="s">
        <v>8</v>
      </c>
      <c r="B461">
        <v>460</v>
      </c>
      <c r="C461">
        <v>99</v>
      </c>
      <c r="D461" t="str">
        <f>_xlfn.XLOOKUP(Tabla36[[#This Row],[Product ID]],Tabla44[[#This Row],[product_id]],Tabla44[[#This Row],[product_name]])</f>
        <v>Bold Sleeveless Tee</v>
      </c>
      <c r="E461" t="str">
        <f>_xlfn.XLOOKUP(Tabla36[[#This Row],[Product ID]],Tabla44[[#This Row],[product_id]],Tabla44[[#This Row],[category]])</f>
        <v>T-Shirts</v>
      </c>
    </row>
    <row r="462" spans="1:5" x14ac:dyDescent="0.3">
      <c r="A462" t="s">
        <v>8</v>
      </c>
      <c r="B462">
        <v>461</v>
      </c>
      <c r="C462">
        <v>99</v>
      </c>
      <c r="D462" t="str">
        <f>_xlfn.XLOOKUP(Tabla36[[#This Row],[Product ID]],Tabla44[[#This Row],[product_id]],Tabla44[[#This Row],[product_name]])</f>
        <v>Bold High-Waist Tee</v>
      </c>
      <c r="E462" t="str">
        <f>_xlfn.XLOOKUP(Tabla36[[#This Row],[Product ID]],Tabla44[[#This Row],[product_id]],Tabla44[[#This Row],[category]])</f>
        <v>T-Shirts</v>
      </c>
    </row>
    <row r="463" spans="1:5" x14ac:dyDescent="0.3">
      <c r="A463" t="s">
        <v>8</v>
      </c>
      <c r="B463">
        <v>462</v>
      </c>
      <c r="C463">
        <v>57</v>
      </c>
      <c r="D463" t="str">
        <f>_xlfn.XLOOKUP(Tabla36[[#This Row],[Product ID]],Tabla44[[#This Row],[product_id]],Tabla44[[#This Row],[product_name]])</f>
        <v>Bold High-Waist Set</v>
      </c>
      <c r="E463" t="str">
        <f>_xlfn.XLOOKUP(Tabla36[[#This Row],[Product ID]],Tabla44[[#This Row],[product_id]],Tabla44[[#This Row],[category]])</f>
        <v>Sleepwear</v>
      </c>
    </row>
    <row r="464" spans="1:5" x14ac:dyDescent="0.3">
      <c r="A464" t="s">
        <v>8</v>
      </c>
      <c r="B464">
        <v>463</v>
      </c>
      <c r="C464">
        <v>94</v>
      </c>
      <c r="D464" t="str">
        <f>_xlfn.XLOOKUP(Tabla36[[#This Row],[Product ID]],Tabla44[[#This Row],[product_id]],Tabla44[[#This Row],[product_name]])</f>
        <v>Bold Boxy Dress</v>
      </c>
      <c r="E464" t="str">
        <f>_xlfn.XLOOKUP(Tabla36[[#This Row],[Product ID]],Tabla44[[#This Row],[product_id]],Tabla44[[#This Row],[category]])</f>
        <v>Dresses</v>
      </c>
    </row>
    <row r="465" spans="1:5" x14ac:dyDescent="0.3">
      <c r="A465" t="s">
        <v>8</v>
      </c>
      <c r="B465">
        <v>464</v>
      </c>
      <c r="C465">
        <v>48</v>
      </c>
      <c r="D465" t="str">
        <f>_xlfn.XLOOKUP(Tabla36[[#This Row],[Product ID]],Tabla44[[#This Row],[product_id]],Tabla44[[#This Row],[product_name]])</f>
        <v>Bold Ribbed Shoes</v>
      </c>
      <c r="E465" t="str">
        <f>_xlfn.XLOOKUP(Tabla36[[#This Row],[Product ID]],Tabla44[[#This Row],[product_id]],Tabla44[[#This Row],[category]])</f>
        <v>Shoes</v>
      </c>
    </row>
    <row r="466" spans="1:5" x14ac:dyDescent="0.3">
      <c r="A466" t="s">
        <v>8</v>
      </c>
      <c r="B466">
        <v>465</v>
      </c>
      <c r="C466">
        <v>42</v>
      </c>
      <c r="D466" t="str">
        <f>_xlfn.XLOOKUP(Tabla36[[#This Row],[Product ID]],Tabla44[[#This Row],[product_id]],Tabla44[[#This Row],[product_name]])</f>
        <v>Bold Boxy Set</v>
      </c>
      <c r="E466" t="str">
        <f>_xlfn.XLOOKUP(Tabla36[[#This Row],[Product ID]],Tabla44[[#This Row],[product_id]],Tabla44[[#This Row],[category]])</f>
        <v>Sleepwear</v>
      </c>
    </row>
    <row r="467" spans="1:5" x14ac:dyDescent="0.3">
      <c r="A467" t="s">
        <v>8</v>
      </c>
      <c r="B467">
        <v>466</v>
      </c>
      <c r="C467">
        <v>32</v>
      </c>
      <c r="D467" t="str">
        <f>_xlfn.XLOOKUP(Tabla36[[#This Row],[Product ID]],Tabla44[[#This Row],[product_id]],Tabla44[[#This Row],[product_name]])</f>
        <v>Bold Boxy Tee</v>
      </c>
      <c r="E467" t="str">
        <f>_xlfn.XLOOKUP(Tabla36[[#This Row],[Product ID]],Tabla44[[#This Row],[product_id]],Tabla44[[#This Row],[category]])</f>
        <v>T-Shirts</v>
      </c>
    </row>
    <row r="468" spans="1:5" x14ac:dyDescent="0.3">
      <c r="A468" t="s">
        <v>8</v>
      </c>
      <c r="B468">
        <v>467</v>
      </c>
      <c r="C468">
        <v>19</v>
      </c>
      <c r="D468" t="str">
        <f>_xlfn.XLOOKUP(Tabla36[[#This Row],[Product ID]],Tabla44[[#This Row],[product_id]],Tabla44[[#This Row],[product_name]])</f>
        <v>Tailored Cotton Trousers</v>
      </c>
      <c r="E468" t="str">
        <f>_xlfn.XLOOKUP(Tabla36[[#This Row],[Product ID]],Tabla44[[#This Row],[product_id]],Tabla44[[#This Row],[category]])</f>
        <v>Pants</v>
      </c>
    </row>
    <row r="469" spans="1:5" x14ac:dyDescent="0.3">
      <c r="A469" t="s">
        <v>8</v>
      </c>
      <c r="B469">
        <v>468</v>
      </c>
      <c r="C469">
        <v>78</v>
      </c>
      <c r="D469" t="str">
        <f>_xlfn.XLOOKUP(Tabla36[[#This Row],[Product ID]],Tabla44[[#This Row],[product_id]],Tabla44[[#This Row],[product_name]])</f>
        <v>Sleepwear Drop 1</v>
      </c>
      <c r="E469" t="str">
        <f>_xlfn.XLOOKUP(Tabla36[[#This Row],[Product ID]],Tabla44[[#This Row],[product_id]],Tabla44[[#This Row],[category]])</f>
        <v>Sleepwear</v>
      </c>
    </row>
    <row r="470" spans="1:5" x14ac:dyDescent="0.3">
      <c r="A470" t="s">
        <v>8</v>
      </c>
      <c r="B470">
        <v>469</v>
      </c>
      <c r="C470">
        <v>43</v>
      </c>
      <c r="D470" t="str">
        <f>_xlfn.XLOOKUP(Tabla36[[#This Row],[Product ID]],Tabla44[[#This Row],[product_id]],Tabla44[[#This Row],[product_name]])</f>
        <v>Dresses Drop 1</v>
      </c>
      <c r="E470" t="str">
        <f>_xlfn.XLOOKUP(Tabla36[[#This Row],[Product ID]],Tabla44[[#This Row],[product_id]],Tabla44[[#This Row],[category]])</f>
        <v>Dresses</v>
      </c>
    </row>
    <row r="471" spans="1:5" x14ac:dyDescent="0.3">
      <c r="A471" t="s">
        <v>8</v>
      </c>
      <c r="B471">
        <v>470</v>
      </c>
      <c r="C471">
        <v>61</v>
      </c>
      <c r="D471" t="str">
        <f>_xlfn.XLOOKUP(Tabla36[[#This Row],[Product ID]],Tabla44[[#This Row],[product_id]],Tabla44[[#This Row],[product_name]])</f>
        <v>Sleepwear Drop 2</v>
      </c>
      <c r="E471" t="str">
        <f>_xlfn.XLOOKUP(Tabla36[[#This Row],[Product ID]],Tabla44[[#This Row],[product_id]],Tabla44[[#This Row],[category]])</f>
        <v>Sleepwear</v>
      </c>
    </row>
    <row r="472" spans="1:5" x14ac:dyDescent="0.3">
      <c r="A472" t="s">
        <v>8</v>
      </c>
      <c r="B472">
        <v>471</v>
      </c>
      <c r="C472">
        <v>5</v>
      </c>
      <c r="D472" t="str">
        <f>_xlfn.XLOOKUP(Tabla36[[#This Row],[Product ID]],Tabla44[[#This Row],[product_id]],Tabla44[[#This Row],[product_name]])</f>
        <v>T-Shirts Drop 1</v>
      </c>
      <c r="E472" t="str">
        <f>_xlfn.XLOOKUP(Tabla36[[#This Row],[Product ID]],Tabla44[[#This Row],[product_id]],Tabla44[[#This Row],[category]])</f>
        <v>T-Shirts</v>
      </c>
    </row>
    <row r="473" spans="1:5" x14ac:dyDescent="0.3">
      <c r="A473" t="s">
        <v>8</v>
      </c>
      <c r="B473">
        <v>472</v>
      </c>
      <c r="C473">
        <v>28</v>
      </c>
      <c r="D473" t="str">
        <f>_xlfn.XLOOKUP(Tabla36[[#This Row],[Product ID]],Tabla44[[#This Row],[product_id]],Tabla44[[#This Row],[product_name]])</f>
        <v>Tailored Satin Trousers</v>
      </c>
      <c r="E473" t="str">
        <f>_xlfn.XLOOKUP(Tabla36[[#This Row],[Product ID]],Tabla44[[#This Row],[product_id]],Tabla44[[#This Row],[category]])</f>
        <v>Pants</v>
      </c>
    </row>
    <row r="474" spans="1:5" x14ac:dyDescent="0.3">
      <c r="A474" t="s">
        <v>8</v>
      </c>
      <c r="B474">
        <v>473</v>
      </c>
      <c r="C474">
        <v>67</v>
      </c>
      <c r="D474" t="str">
        <f>_xlfn.XLOOKUP(Tabla36[[#This Row],[Product ID]],Tabla44[[#This Row],[product_id]],Tabla44[[#This Row],[product_name]])</f>
        <v>Dresses Drop 2</v>
      </c>
      <c r="E474" t="str">
        <f>_xlfn.XLOOKUP(Tabla36[[#This Row],[Product ID]],Tabla44[[#This Row],[product_id]],Tabla44[[#This Row],[category]])</f>
        <v>Dresses</v>
      </c>
    </row>
    <row r="475" spans="1:5" x14ac:dyDescent="0.3">
      <c r="A475" t="s">
        <v>8</v>
      </c>
      <c r="B475">
        <v>474</v>
      </c>
      <c r="C475">
        <v>10</v>
      </c>
      <c r="D475" t="str">
        <f>_xlfn.XLOOKUP(Tabla36[[#This Row],[Product ID]],Tabla44[[#This Row],[product_id]],Tabla44[[#This Row],[product_name]])</f>
        <v>Bold Cotton Shoes</v>
      </c>
      <c r="E475" t="str">
        <f>_xlfn.XLOOKUP(Tabla36[[#This Row],[Product ID]],Tabla44[[#This Row],[product_id]],Tabla44[[#This Row],[category]])</f>
        <v>Shoes</v>
      </c>
    </row>
    <row r="476" spans="1:5" x14ac:dyDescent="0.3">
      <c r="A476" t="s">
        <v>8</v>
      </c>
      <c r="B476">
        <v>475</v>
      </c>
      <c r="C476">
        <v>78</v>
      </c>
      <c r="D476" t="str">
        <f>_xlfn.XLOOKUP(Tabla36[[#This Row],[Product ID]],Tabla44[[#This Row],[product_id]],Tabla44[[#This Row],[product_name]])</f>
        <v>Dresses Drop 3</v>
      </c>
      <c r="E476" t="str">
        <f>_xlfn.XLOOKUP(Tabla36[[#This Row],[Product ID]],Tabla44[[#This Row],[product_id]],Tabla44[[#This Row],[category]])</f>
        <v>Dresses</v>
      </c>
    </row>
    <row r="477" spans="1:5" x14ac:dyDescent="0.3">
      <c r="A477" t="s">
        <v>8</v>
      </c>
      <c r="B477">
        <v>476</v>
      </c>
      <c r="C477">
        <v>13</v>
      </c>
      <c r="D477" t="str">
        <f>_xlfn.XLOOKUP(Tabla36[[#This Row],[Product ID]],Tabla44[[#This Row],[product_id]],Tabla44[[#This Row],[product_name]])</f>
        <v>Bold Satin Shoes</v>
      </c>
      <c r="E477" t="str">
        <f>_xlfn.XLOOKUP(Tabla36[[#This Row],[Product ID]],Tabla44[[#This Row],[product_id]],Tabla44[[#This Row],[category]])</f>
        <v>Shoes</v>
      </c>
    </row>
    <row r="478" spans="1:5" x14ac:dyDescent="0.3">
      <c r="A478" t="s">
        <v>8</v>
      </c>
      <c r="B478">
        <v>477</v>
      </c>
      <c r="C478">
        <v>25</v>
      </c>
      <c r="D478" t="str">
        <f>_xlfn.XLOOKUP(Tabla36[[#This Row],[Product ID]],Tabla44[[#This Row],[product_id]],Tabla44[[#This Row],[product_name]])</f>
        <v>Bold Silk Shoes</v>
      </c>
      <c r="E478" t="str">
        <f>_xlfn.XLOOKUP(Tabla36[[#This Row],[Product ID]],Tabla44[[#This Row],[product_id]],Tabla44[[#This Row],[category]])</f>
        <v>Shoes</v>
      </c>
    </row>
    <row r="479" spans="1:5" x14ac:dyDescent="0.3">
      <c r="A479" t="s">
        <v>8</v>
      </c>
      <c r="B479">
        <v>478</v>
      </c>
      <c r="C479">
        <v>33</v>
      </c>
      <c r="D479" t="str">
        <f>_xlfn.XLOOKUP(Tabla36[[#This Row],[Product ID]],Tabla44[[#This Row],[product_id]],Tabla44[[#This Row],[product_name]])</f>
        <v>T-Shirts Drop 2</v>
      </c>
      <c r="E479" t="str">
        <f>_xlfn.XLOOKUP(Tabla36[[#This Row],[Product ID]],Tabla44[[#This Row],[product_id]],Tabla44[[#This Row],[category]])</f>
        <v>T-Shirts</v>
      </c>
    </row>
    <row r="480" spans="1:5" x14ac:dyDescent="0.3">
      <c r="A480" t="s">
        <v>8</v>
      </c>
      <c r="B480">
        <v>479</v>
      </c>
      <c r="C480">
        <v>89</v>
      </c>
      <c r="D480" t="str">
        <f>_xlfn.XLOOKUP(Tabla36[[#This Row],[Product ID]],Tabla44[[#This Row],[product_id]],Tabla44[[#This Row],[product_name]])</f>
        <v>Dresses Drop 4</v>
      </c>
      <c r="E480" t="str">
        <f>_xlfn.XLOOKUP(Tabla36[[#This Row],[Product ID]],Tabla44[[#This Row],[product_id]],Tabla44[[#This Row],[category]])</f>
        <v>Dresses</v>
      </c>
    </row>
    <row r="481" spans="1:5" x14ac:dyDescent="0.3">
      <c r="A481" t="s">
        <v>8</v>
      </c>
      <c r="B481">
        <v>480</v>
      </c>
      <c r="C481">
        <v>11</v>
      </c>
      <c r="D481" t="str">
        <f>_xlfn.XLOOKUP(Tabla36[[#This Row],[Product ID]],Tabla44[[#This Row],[product_id]],Tabla44[[#This Row],[product_name]])</f>
        <v>Dresses Drop 5</v>
      </c>
      <c r="E481" t="str">
        <f>_xlfn.XLOOKUP(Tabla36[[#This Row],[Product ID]],Tabla44[[#This Row],[product_id]],Tabla44[[#This Row],[category]])</f>
        <v>Dresses</v>
      </c>
    </row>
    <row r="482" spans="1:5" x14ac:dyDescent="0.3">
      <c r="A482" t="s">
        <v>8</v>
      </c>
      <c r="B482">
        <v>481</v>
      </c>
      <c r="C482">
        <v>41</v>
      </c>
      <c r="D482" t="str">
        <f>_xlfn.XLOOKUP(Tabla36[[#This Row],[Product ID]],Tabla44[[#This Row],[product_id]],Tabla44[[#This Row],[product_name]])</f>
        <v>Bold Crew Shoes</v>
      </c>
      <c r="E482" t="str">
        <f>_xlfn.XLOOKUP(Tabla36[[#This Row],[Product ID]],Tabla44[[#This Row],[product_id]],Tabla44[[#This Row],[category]])</f>
        <v>Shoes</v>
      </c>
    </row>
    <row r="483" spans="1:5" x14ac:dyDescent="0.3">
      <c r="A483" t="s">
        <v>8</v>
      </c>
      <c r="B483">
        <v>482</v>
      </c>
      <c r="C483">
        <v>93</v>
      </c>
      <c r="D483" t="str">
        <f>_xlfn.XLOOKUP(Tabla36[[#This Row],[Product ID]],Tabla44[[#This Row],[product_id]],Tabla44[[#This Row],[product_name]])</f>
        <v>Dresses Drop 6</v>
      </c>
      <c r="E483" t="str">
        <f>_xlfn.XLOOKUP(Tabla36[[#This Row],[Product ID]],Tabla44[[#This Row],[product_id]],Tabla44[[#This Row],[category]])</f>
        <v>Dresses</v>
      </c>
    </row>
    <row r="484" spans="1:5" x14ac:dyDescent="0.3">
      <c r="A484" t="s">
        <v>8</v>
      </c>
      <c r="B484">
        <v>483</v>
      </c>
      <c r="C484">
        <v>33</v>
      </c>
      <c r="D484" t="str">
        <f>_xlfn.XLOOKUP(Tabla36[[#This Row],[Product ID]],Tabla44[[#This Row],[product_id]],Tabla44[[#This Row],[product_name]])</f>
        <v>T-Shirts Drop 3</v>
      </c>
      <c r="E484" t="str">
        <f>_xlfn.XLOOKUP(Tabla36[[#This Row],[Product ID]],Tabla44[[#This Row],[product_id]],Tabla44[[#This Row],[category]])</f>
        <v>T-Shirts</v>
      </c>
    </row>
    <row r="485" spans="1:5" x14ac:dyDescent="0.3">
      <c r="A485" t="s">
        <v>8</v>
      </c>
      <c r="B485">
        <v>484</v>
      </c>
      <c r="C485">
        <v>21</v>
      </c>
      <c r="D485" t="str">
        <f>_xlfn.XLOOKUP(Tabla36[[#This Row],[Product ID]],Tabla44[[#This Row],[product_id]],Tabla44[[#This Row],[product_name]])</f>
        <v>Tailored Silk Trousers</v>
      </c>
      <c r="E485" t="str">
        <f>_xlfn.XLOOKUP(Tabla36[[#This Row],[Product ID]],Tabla44[[#This Row],[product_id]],Tabla44[[#This Row],[category]])</f>
        <v>Pants</v>
      </c>
    </row>
    <row r="486" spans="1:5" x14ac:dyDescent="0.3">
      <c r="A486" t="s">
        <v>8</v>
      </c>
      <c r="B486">
        <v>485</v>
      </c>
      <c r="C486">
        <v>59</v>
      </c>
      <c r="D486" t="str">
        <f>_xlfn.XLOOKUP(Tabla36[[#This Row],[Product ID]],Tabla44[[#This Row],[product_id]],Tabla44[[#This Row],[product_name]])</f>
        <v>Bold Sleeveless Shoes</v>
      </c>
      <c r="E486" t="str">
        <f>_xlfn.XLOOKUP(Tabla36[[#This Row],[Product ID]],Tabla44[[#This Row],[product_id]],Tabla44[[#This Row],[category]])</f>
        <v>Shoes</v>
      </c>
    </row>
    <row r="487" spans="1:5" x14ac:dyDescent="0.3">
      <c r="A487" t="s">
        <v>8</v>
      </c>
      <c r="B487">
        <v>486</v>
      </c>
      <c r="C487">
        <v>44</v>
      </c>
      <c r="D487" t="str">
        <f>_xlfn.XLOOKUP(Tabla36[[#This Row],[Product ID]],Tabla44[[#This Row],[product_id]],Tabla44[[#This Row],[product_name]])</f>
        <v>T-Shirts Drop 4</v>
      </c>
      <c r="E487" t="str">
        <f>_xlfn.XLOOKUP(Tabla36[[#This Row],[Product ID]],Tabla44[[#This Row],[product_id]],Tabla44[[#This Row],[category]])</f>
        <v>T-Shirts</v>
      </c>
    </row>
    <row r="488" spans="1:5" x14ac:dyDescent="0.3">
      <c r="A488" t="s">
        <v>8</v>
      </c>
      <c r="B488">
        <v>487</v>
      </c>
      <c r="C488">
        <v>42</v>
      </c>
      <c r="D488" t="str">
        <f>_xlfn.XLOOKUP(Tabla36[[#This Row],[Product ID]],Tabla44[[#This Row],[product_id]],Tabla44[[#This Row],[product_name]])</f>
        <v>Bold High-Waist Shoes</v>
      </c>
      <c r="E488" t="str">
        <f>_xlfn.XLOOKUP(Tabla36[[#This Row],[Product ID]],Tabla44[[#This Row],[product_id]],Tabla44[[#This Row],[category]])</f>
        <v>Shoes</v>
      </c>
    </row>
    <row r="489" spans="1:5" x14ac:dyDescent="0.3">
      <c r="A489" t="s">
        <v>8</v>
      </c>
      <c r="B489">
        <v>488</v>
      </c>
      <c r="C489">
        <v>42</v>
      </c>
      <c r="D489" t="str">
        <f>_xlfn.XLOOKUP(Tabla36[[#This Row],[Product ID]],Tabla44[[#This Row],[product_id]],Tabla44[[#This Row],[product_name]])</f>
        <v>Sleepwear Drop 3</v>
      </c>
      <c r="E489" t="str">
        <f>_xlfn.XLOOKUP(Tabla36[[#This Row],[Product ID]],Tabla44[[#This Row],[product_id]],Tabla44[[#This Row],[category]])</f>
        <v>Sleepwear</v>
      </c>
    </row>
    <row r="490" spans="1:5" x14ac:dyDescent="0.3">
      <c r="A490" t="s">
        <v>8</v>
      </c>
      <c r="B490">
        <v>489</v>
      </c>
      <c r="C490">
        <v>70</v>
      </c>
      <c r="D490" t="str">
        <f>_xlfn.XLOOKUP(Tabla36[[#This Row],[Product ID]],Tabla44[[#This Row],[product_id]],Tabla44[[#This Row],[product_name]])</f>
        <v>T-Shirts Drop 5</v>
      </c>
      <c r="E490" t="str">
        <f>_xlfn.XLOOKUP(Tabla36[[#This Row],[Product ID]],Tabla44[[#This Row],[product_id]],Tabla44[[#This Row],[category]])</f>
        <v>T-Shirts</v>
      </c>
    </row>
    <row r="491" spans="1:5" x14ac:dyDescent="0.3">
      <c r="A491" t="s">
        <v>8</v>
      </c>
      <c r="B491">
        <v>490</v>
      </c>
      <c r="C491">
        <v>60</v>
      </c>
      <c r="D491" t="str">
        <f>_xlfn.XLOOKUP(Tabla36[[#This Row],[Product ID]],Tabla44[[#This Row],[product_id]],Tabla44[[#This Row],[product_name]])</f>
        <v>Bold Boxy Shoes</v>
      </c>
      <c r="E491" t="str">
        <f>_xlfn.XLOOKUP(Tabla36[[#This Row],[Product ID]],Tabla44[[#This Row],[product_id]],Tabla44[[#This Row],[category]])</f>
        <v>Shoes</v>
      </c>
    </row>
    <row r="492" spans="1:5" x14ac:dyDescent="0.3">
      <c r="A492" t="s">
        <v>8</v>
      </c>
      <c r="B492">
        <v>491</v>
      </c>
      <c r="C492">
        <v>52</v>
      </c>
      <c r="D492" t="str">
        <f>_xlfn.XLOOKUP(Tabla36[[#This Row],[Product ID]],Tabla44[[#This Row],[product_id]],Tabla44[[#This Row],[product_name]])</f>
        <v>T-Shirts Drop 6</v>
      </c>
      <c r="E492" t="str">
        <f>_xlfn.XLOOKUP(Tabla36[[#This Row],[Product ID]],Tabla44[[#This Row],[product_id]],Tabla44[[#This Row],[category]])</f>
        <v>T-Shirts</v>
      </c>
    </row>
    <row r="493" spans="1:5" x14ac:dyDescent="0.3">
      <c r="A493" t="s">
        <v>8</v>
      </c>
      <c r="B493">
        <v>492</v>
      </c>
      <c r="C493">
        <v>21</v>
      </c>
      <c r="D493" t="str">
        <f>_xlfn.XLOOKUP(Tabla36[[#This Row],[Product ID]],Tabla44[[#This Row],[product_id]],Tabla44[[#This Row],[product_name]])</f>
        <v>Tailored Crew Trousers</v>
      </c>
      <c r="E493" t="str">
        <f>_xlfn.XLOOKUP(Tabla36[[#This Row],[Product ID]],Tabla44[[#This Row],[product_id]],Tabla44[[#This Row],[category]])</f>
        <v>Pants</v>
      </c>
    </row>
    <row r="494" spans="1:5" x14ac:dyDescent="0.3">
      <c r="A494" t="s">
        <v>8</v>
      </c>
      <c r="B494">
        <v>493</v>
      </c>
      <c r="C494">
        <v>76</v>
      </c>
      <c r="D494" t="str">
        <f>_xlfn.XLOOKUP(Tabla36[[#This Row],[Product ID]],Tabla44[[#This Row],[product_id]],Tabla44[[#This Row],[product_name]])</f>
        <v>Tailored Sleeveless Trousers</v>
      </c>
      <c r="E494" t="str">
        <f>_xlfn.XLOOKUP(Tabla36[[#This Row],[Product ID]],Tabla44[[#This Row],[product_id]],Tabla44[[#This Row],[category]])</f>
        <v>Pants</v>
      </c>
    </row>
    <row r="495" spans="1:5" x14ac:dyDescent="0.3">
      <c r="A495" t="s">
        <v>8</v>
      </c>
      <c r="B495">
        <v>494</v>
      </c>
      <c r="C495">
        <v>74</v>
      </c>
      <c r="D495" t="str">
        <f>_xlfn.XLOOKUP(Tabla36[[#This Row],[Product ID]],Tabla44[[#This Row],[product_id]],Tabla44[[#This Row],[product_name]])</f>
        <v>T-Shirts Drop 7</v>
      </c>
      <c r="E495" t="str">
        <f>_xlfn.XLOOKUP(Tabla36[[#This Row],[Product ID]],Tabla44[[#This Row],[product_id]],Tabla44[[#This Row],[category]])</f>
        <v>T-Shirts</v>
      </c>
    </row>
    <row r="496" spans="1:5" x14ac:dyDescent="0.3">
      <c r="A496" t="s">
        <v>8</v>
      </c>
      <c r="B496">
        <v>495</v>
      </c>
      <c r="C496">
        <v>42</v>
      </c>
      <c r="D496" t="str">
        <f>_xlfn.XLOOKUP(Tabla36[[#This Row],[Product ID]],Tabla44[[#This Row],[product_id]],Tabla44[[#This Row],[product_name]])</f>
        <v>Dresses Drop 7</v>
      </c>
      <c r="E496" t="str">
        <f>_xlfn.XLOOKUP(Tabla36[[#This Row],[Product ID]],Tabla44[[#This Row],[product_id]],Tabla44[[#This Row],[category]])</f>
        <v>Dresses</v>
      </c>
    </row>
    <row r="497" spans="1:5" x14ac:dyDescent="0.3">
      <c r="A497" t="s">
        <v>8</v>
      </c>
      <c r="B497">
        <v>496</v>
      </c>
      <c r="C497">
        <v>5</v>
      </c>
      <c r="D497" t="str">
        <f>_xlfn.XLOOKUP(Tabla36[[#This Row],[Product ID]],Tabla44[[#This Row],[product_id]],Tabla44[[#This Row],[product_name]])</f>
        <v>Tailored High-Waist Trousers</v>
      </c>
      <c r="E497" t="str">
        <f>_xlfn.XLOOKUP(Tabla36[[#This Row],[Product ID]],Tabla44[[#This Row],[product_id]],Tabla44[[#This Row],[category]])</f>
        <v>Pants</v>
      </c>
    </row>
    <row r="498" spans="1:5" x14ac:dyDescent="0.3">
      <c r="A498" t="s">
        <v>8</v>
      </c>
      <c r="B498">
        <v>497</v>
      </c>
      <c r="C498">
        <v>83</v>
      </c>
      <c r="D498" t="str">
        <f>_xlfn.XLOOKUP(Tabla36[[#This Row],[Product ID]],Tabla44[[#This Row],[product_id]],Tabla44[[#This Row],[product_name]])</f>
        <v>Dresses Drop 8</v>
      </c>
      <c r="E498" t="str">
        <f>_xlfn.XLOOKUP(Tabla36[[#This Row],[Product ID]],Tabla44[[#This Row],[product_id]],Tabla44[[#This Row],[category]])</f>
        <v>Dresses</v>
      </c>
    </row>
    <row r="499" spans="1:5" x14ac:dyDescent="0.3">
      <c r="A499" t="s">
        <v>8</v>
      </c>
      <c r="B499">
        <v>498</v>
      </c>
      <c r="C499">
        <v>52</v>
      </c>
      <c r="D499" t="str">
        <f>_xlfn.XLOOKUP(Tabla36[[#This Row],[Product ID]],Tabla44[[#This Row],[product_id]],Tabla44[[#This Row],[product_name]])</f>
        <v>T-Shirts Drop 8</v>
      </c>
      <c r="E499" t="str">
        <f>_xlfn.XLOOKUP(Tabla36[[#This Row],[Product ID]],Tabla44[[#This Row],[product_id]],Tabla44[[#This Row],[category]])</f>
        <v>T-Shirts</v>
      </c>
    </row>
    <row r="500" spans="1:5" x14ac:dyDescent="0.3">
      <c r="A500" t="s">
        <v>8</v>
      </c>
      <c r="B500">
        <v>499</v>
      </c>
      <c r="C500">
        <v>53</v>
      </c>
      <c r="D500" t="str">
        <f>_xlfn.XLOOKUP(Tabla36[[#This Row],[Product ID]],Tabla44[[#This Row],[product_id]],Tabla44[[#This Row],[product_name]])</f>
        <v>Sleepwear Drop 4</v>
      </c>
      <c r="E500" t="str">
        <f>_xlfn.XLOOKUP(Tabla36[[#This Row],[Product ID]],Tabla44[[#This Row],[product_id]],Tabla44[[#This Row],[category]])</f>
        <v>Sleepwear</v>
      </c>
    </row>
    <row r="501" spans="1:5" x14ac:dyDescent="0.3">
      <c r="A501" t="s">
        <v>8</v>
      </c>
      <c r="B501">
        <v>500</v>
      </c>
      <c r="C501">
        <v>38</v>
      </c>
      <c r="D501" t="str">
        <f>_xlfn.XLOOKUP(Tabla36[[#This Row],[Product ID]],Tabla44[[#This Row],[product_id]],Tabla44[[#This Row],[product_name]])</f>
        <v>Dresses Drop 9</v>
      </c>
      <c r="E501" t="str">
        <f>_xlfn.XLOOKUP(Tabla36[[#This Row],[Product ID]],Tabla44[[#This Row],[product_id]],Tabla44[[#This Row],[category]])</f>
        <v>Dresses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DASHBOARD</vt:lpstr>
      <vt:lpstr>SQL tables</vt:lpstr>
      <vt:lpstr>Sales table</vt:lpstr>
      <vt:lpstr>Products table</vt:lpstr>
      <vt:lpstr>Stock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Paloma Ferrero</dc:creator>
  <cp:lastModifiedBy>Paloma Ferrero</cp:lastModifiedBy>
  <dcterms:created xsi:type="dcterms:W3CDTF">2026-07-21T21:15:17Z</dcterms:created>
  <dcterms:modified xsi:type="dcterms:W3CDTF">2026-08-02T14:02:34Z</dcterms:modified>
</cp:coreProperties>
</file>